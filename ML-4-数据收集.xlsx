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55"/>
  </bookViews>
  <sheets>
    <sheet name="ML描述符" sheetId="1" r:id="rId1"/>
    <sheet name="离子特征参数" sheetId="2" r:id="rId2"/>
    <sheet name="计算说明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<sst xmlns="http://schemas.openxmlformats.org/spreadsheetml/2006/main" count="669" uniqueCount="402">
  <si>
    <t>原表行号</t>
  </si>
  <si>
    <t>序号</t>
  </si>
  <si>
    <t>体系</t>
  </si>
  <si>
    <t>X</t>
  </si>
  <si>
    <t>Wrec(J/cm3)</t>
  </si>
  <si>
    <t>Eb(kV/cm)</t>
  </si>
  <si>
    <t>W/E</t>
  </si>
  <si>
    <t>效率η（%）</t>
  </si>
  <si>
    <t>计算状态</t>
  </si>
  <si>
    <t>计算说明</t>
  </si>
  <si>
    <t>A位原始总量</t>
  </si>
  <si>
    <t>B位原始总量</t>
  </si>
  <si>
    <t>A位平均Shannon半径(Å)</t>
  </si>
  <si>
    <t>B位平均Shannon半径(Å)</t>
  </si>
  <si>
    <t>A/B平均半径比</t>
  </si>
  <si>
    <t>A-B平均半径差(Å)</t>
  </si>
  <si>
    <t>容忍因子 t</t>
  </si>
  <si>
    <t>八面体因子 μ</t>
  </si>
  <si>
    <t>A位半径方差(Å^2)</t>
  </si>
  <si>
    <t>B位半径方差(Å^2)</t>
  </si>
  <si>
    <t>A位半径失配 δr</t>
  </si>
  <si>
    <t>B位半径失配 δr</t>
  </si>
  <si>
    <t>A位构型熵 ΔS_A (J/mol·K)</t>
  </si>
  <si>
    <t>B位构型熵 ΔS_B (J/mol·K)</t>
  </si>
  <si>
    <t>总构型熵 ΔS_total (J/mol·K)</t>
  </si>
  <si>
    <t>A位平均Pauling电负性</t>
  </si>
  <si>
    <t>B位平均Pauling电负性</t>
  </si>
  <si>
    <t>Δχ(A-O)</t>
  </si>
  <si>
    <t>Δχ(B-O)</t>
  </si>
  <si>
    <t>Δχ(A-B)</t>
  </si>
  <si>
    <t>A位平均名义价态</t>
  </si>
  <si>
    <t>B位平均名义价态</t>
  </si>
  <si>
    <t>A位价态失配 σV_A</t>
  </si>
  <si>
    <t>B位价态失配 σV_B</t>
  </si>
  <si>
    <t>总价态失配 σV_total</t>
  </si>
  <si>
    <t>A位平均相对原子质量</t>
  </si>
  <si>
    <t>B位平均相对原子质量</t>
  </si>
  <si>
    <t>A位平均极化率(bohr^3)</t>
  </si>
  <si>
    <t>B位平均极化率(bohr^3)</t>
  </si>
  <si>
    <t>A位平均第一电离能(eV)</t>
  </si>
  <si>
    <t>B位平均第一电离能(eV)</t>
  </si>
  <si>
    <t>A位分数_Ag</t>
  </si>
  <si>
    <t>A位分数_Ba</t>
  </si>
  <si>
    <t>A位分数_Bi</t>
  </si>
  <si>
    <t>A位分数_Ca</t>
  </si>
  <si>
    <t>A位分数_Ho</t>
  </si>
  <si>
    <t>A位分数_K</t>
  </si>
  <si>
    <t>A位分数_La</t>
  </si>
  <si>
    <t>A位分数_Li</t>
  </si>
  <si>
    <t>A位分数_Na</t>
  </si>
  <si>
    <t>A位分数_Nd</t>
  </si>
  <si>
    <t>A位分数_Sm</t>
  </si>
  <si>
    <t>A位分数_Sr</t>
  </si>
  <si>
    <t>B位分数_Al</t>
  </si>
  <si>
    <t>B位分数_Fe</t>
  </si>
  <si>
    <t>B位分数_Hf</t>
  </si>
  <si>
    <t>B位分数_Mg</t>
  </si>
  <si>
    <t>B位分数_Nb</t>
  </si>
  <si>
    <t>B位分数_Sc</t>
  </si>
  <si>
    <t>B位分数_Sn</t>
  </si>
  <si>
    <t>B位分数_Ta</t>
  </si>
  <si>
    <t>B位分数_Ti</t>
  </si>
  <si>
    <t>B位分数_W</t>
  </si>
  <si>
    <t>B位分数_Y</t>
  </si>
  <si>
    <t>B位分数_Zn</t>
  </si>
  <si>
    <t>B位分数_Zr</t>
  </si>
  <si>
    <t>0.95(0.7Bi0.5Na0.5TiO3-0.3K0.5Na0.5NbO3)-0.05Sr0.7Bi0.2Ca0.1TiO3</t>
  </si>
  <si>
    <t>OK</t>
  </si>
  <si>
    <t>0.948(0.7Bi0.5Na0.5TiO3-0.3K0.5Na0.5NbO3)-0.052Sr0.7Bi0.2Ca0.1TiO3</t>
  </si>
  <si>
    <t>0.946(0.7Bi0.5Na0.5TiO3-0.3K0.5Na0.5NbO3)-0.054Sr0.7Bi0.2Ca0.1TiO3</t>
  </si>
  <si>
    <t>0.944(0.7Bi0.5Na0.5TiO3-0.3K0.5Na0.5NbO3)-0.056Sr0.7Bi0.2Ca0.1TiO3</t>
  </si>
  <si>
    <t>0.942(0.7Bi0.5Na0.5TiO3-0.3K0.5Na0.5NbO3)-0.058Sr0.7Bi0.2Ca0.1TiO3</t>
  </si>
  <si>
    <t>0.94(0.7Bi0.5Na0.5TiO3-0.3K0.5Na0.5NbO3)-0.06Sr0.7Bi0.2Ca0.1TiO3</t>
  </si>
  <si>
    <t>0.938(0.7Bi0.5Na0.5TiO3-0.3K0.5Na0.5NbO3)-0.062Sr0.7Bi0.2Ca0.1TiO3</t>
  </si>
  <si>
    <t>0.936(0.7Bi0.5Na0.5TiO3-0.3K0.5Na0.5NbO3)-0.064Sr0.7Bi0.2Ca0.1TiO3</t>
  </si>
  <si>
    <t>0.934(0.7Bi0.5Na0.5TiO3-0.3K0.5Na0.5NbO3)-0.066Sr0.7Bi0.2Ca0.1TiO3</t>
  </si>
  <si>
    <t>0.932(0.7Bi0.5Na0.5TiO3-0.3K0.5Na0.5NbO3)-0.068Sr0.7Bi0.2Ca0.1TiO3</t>
  </si>
  <si>
    <t>0.93(0.7Bi0.5Na0.5TiO3-0.3K0.5Na0.5NbO3)-0.07Sr0.7Bi0.2Ca0.1TiO3</t>
  </si>
  <si>
    <t>0.928(0.7Bi0.5Na0.5TiO3-0.3K0.5Na0.5NbO3)-0.072Sr0.7Bi0.2Ca0.1TiO3</t>
  </si>
  <si>
    <t>0.926(0.7Bi0.5Na0.5TiO3-0.3K0.5Na0.5NbO3)-0.074Sr0.7Bi0.2Ca0.1TiO3</t>
  </si>
  <si>
    <t>0.924(0.7Bi0.5Na0.5TiO3-0.3K0.5Na0.5NbO3)-0.076Sr0.7Bi0.2Ca0.1TiO3</t>
  </si>
  <si>
    <t>0.922(0.7Bi0.5Na0.5TiO3-0.3K0.5Na0.5NbO3)-0.078Sr0.7Bi0.2Ca0.1TiO3</t>
  </si>
  <si>
    <t>0.92(0.7Bi0.5Na0.5TiO3-0.3K0.5Na0.5NbO3)-0.08Sr0.7Bi0.2Ca0.1TiO3</t>
  </si>
  <si>
    <t>0.918(0.7Bi0.5Na0.5TiO3-0.3K0.5Na0.5NbO3)-0.082Sr0.7Bi0.2Ca0.1TiO3</t>
  </si>
  <si>
    <t>0.916(0.7Bi0.5Na0.5TiO3-0.3K0.5Na0.5NbO3)-0.084Sr0.7Bi0.2Ca0.1TiO3</t>
  </si>
  <si>
    <t>0.914(0.7Bi0.5Na0.5TiO3-0.3K0.5Na0.5NbO3)-0.086Sr0.7Bi0.2Ca0.1TiO3</t>
  </si>
  <si>
    <t>0.912(0.7Bi0.5Na0.5TiO3-0.3K0.5Na0.5NbO3)-0.088Sr0.7Bi0.2Ca0.1TiO3</t>
  </si>
  <si>
    <t>0.91(0.7Bi0.5Na0.5TiO3-0.3K0.5Na0.5NbO3)-0.09Sr0.7Bi0.2Ca0.1TiO3</t>
  </si>
  <si>
    <t>0.908(0.7Bi0.5Na0.5TiO3-0.3K0.5Na0.5NbO3)-0.092Sr0.7Bi0.2Ca0.1TiO3</t>
  </si>
  <si>
    <t>0.906(0.7Bi0.5Na0.5TiO3-0.3K0.5Na0.5NbO3)-0.094Sr0.7Bi0.2Ca0.1TiO3</t>
  </si>
  <si>
    <t>0.904(0.7Bi0.5Na0.5TiO3-0.3K0.5Na0.5NbO3)-0.096Sr0.7Bi0.2Ca0.1TiO3</t>
  </si>
  <si>
    <t>0.902(0.7Bi0.5Na0.5TiO3-0.3K0.5Na0.5NbO3)-0.098Sr0.7Bi0.2Ca0.1TiO3</t>
  </si>
  <si>
    <t>0.9(0.7Bi0.5Na0.5TiO3-0.3K0.5Na0.5NbO3)-0.1Sr0.7Bi0.2Ca0.1TiO3</t>
  </si>
  <si>
    <t>0.898(0.7Bi0.5Na0.5TiO3-0.3K0.5Na0.5NbO3)-0.102Sr0.7Bi0.2Ca0.1TiO3</t>
  </si>
  <si>
    <t>0.896(0.7Bi0.5Na0.5TiO3-0.3K0.5Na0.5NbO3)-0.104Sr0.7Bi0.2Ca0.1TiO3</t>
  </si>
  <si>
    <t>0.894(0.7Bi0.5Na0.5TiO3-0.3K0.5Na0.5NbO3)-0.106Sr0.7Bi0.2Ca0.1TiO3</t>
  </si>
  <si>
    <t>0.892(0.7Bi0.5Na0.5TiO3-0.3K0.5Na0.5NbO3)-0.108Sr0.7Bi0.2Ca0.1TiO3</t>
  </si>
  <si>
    <t>0.89(0.7Bi0.5Na0.5TiO3-0.3K0.5Na0.5NbO3)-0.11Sr0.7Bi0.2Ca0.1TiO3</t>
  </si>
  <si>
    <t>0.888(0.7Bi0.5Na0.5TiO3-0.3K0.5Na0.5NbO3)-0.112Sr0.7Bi0.2Ca0.1TiO3</t>
  </si>
  <si>
    <t>0.886(0.7Bi0.5Na0.5TiO3-0.3K0.5Na0.5NbO3)-0.114Sr0.7Bi0.2Ca0.1TiO3</t>
  </si>
  <si>
    <t>0.884(0.7Bi0.5Na0.5TiO3-0.3K0.5Na0.5NbO3)-0.116Sr0.7Bi0.2Ca0.1TiO3</t>
  </si>
  <si>
    <t>0.882(0.7Bi0.5Na0.5TiO3-0.3K0.5Na0.5NbO3)-0.118Sr0.7Bi0.2Ca0.1TiO3</t>
  </si>
  <si>
    <t>0.88(0.7Bi0.5Na0.5TiO3-0.3K0.5Na0.5NbO3)-0.12Sr0.7Bi0.2Ca0.1TiO3</t>
  </si>
  <si>
    <t>0.878(0.7Bi0.5Na0.5TiO3-0.3K0.5Na0.5NbO3)-0.122Sr0.7Bi0.2Ca0.1TiO3</t>
  </si>
  <si>
    <t>0.876(0.7Bi0.5Na0.5TiO3-0.3K0.5Na0.5NbO3)-0.124Sr0.7Bi0.2Ca0.1TiO3</t>
  </si>
  <si>
    <t>0.874(0.7Bi0.5Na0.5TiO3-0.3K0.5Na0.5NbO3)-0.126Sr0.7Bi0.2Ca0.1TiO3</t>
  </si>
  <si>
    <t>0.872(0.7Bi0.5Na0.5TiO3-0.3K0.5Na0.5NbO3)-0.128Sr0.7Bi0.2Ca0.1TiO3</t>
  </si>
  <si>
    <t>0.87(0.7Bi0.5Na0.5TiO3-0.3K0.5Na0.5NbO3)-0.13Sr0.7Bi0.2Ca0.1TiO3</t>
  </si>
  <si>
    <t>0.868(0.7Bi0.5Na0.5TiO3-0.3K0.5Na0.5NbO3)-0.132Sr0.7Bi0.2Ca0.1TiO3</t>
  </si>
  <si>
    <t>0.866(0.7Bi0.5Na0.5TiO3-0.3K0.5Na0.5NbO3)-0.134Sr0.7Bi0.2Ca0.1TiO3</t>
  </si>
  <si>
    <t>0.864(0.7Bi0.5Na0.5TiO3-0.3K0.5Na0.5NbO3)-0.136Sr0.7Bi0.2Ca0.1TiO3</t>
  </si>
  <si>
    <t>0.862(0.7Bi0.5Na0.5TiO3-0.3K0.5Na0.5NbO3)-0.138Sr0.7Bi0.2Ca0.1TiO3</t>
  </si>
  <si>
    <t>0.86(0.7Bi0.5Na0.5TiO3-0.3K0.5Na0.5NbO3)-0.14Sr0.7Bi0.2Ca0.1TiO3</t>
  </si>
  <si>
    <t>0.858(0.7Bi0.5Na0.5TiO3-0.3K0.5Na0.5NbO3)-0.142Sr0.7Bi0.2Ca0.1TiO3</t>
  </si>
  <si>
    <t>0.856(0.7Bi0.5Na0.5TiO3-0.3K0.5Na0.5NbO3)-0.144Sr0.7Bi0.2Ca0.1TiO3</t>
  </si>
  <si>
    <t>0.854(0.7Bi0.5Na0.5TiO3-0.3K0.5Na0.5NbO3)-0.146Sr0.7Bi0.2Ca0.1TiO3</t>
  </si>
  <si>
    <t>0.852(0.7Bi0.5Na0.5TiO3-0.3K0.5Na0.5NbO3)-0.148Sr0.7Bi0.2Ca0.1TiO3</t>
  </si>
  <si>
    <t>0.85(0.7Bi0.5Na0.5TiO3-0.3K0.5Na0.5NbO3)-0.15Sr0.7Bi0.2Ca0.1TiO3</t>
  </si>
  <si>
    <t>0.848(0.7Bi0.5Na0.5TiO3-0.3K0.5Na0.5NbO3)-0.152Sr0.7Bi0.2Ca0.1TiO3</t>
  </si>
  <si>
    <t>0.846(0.7Bi0.5Na0.5TiO3-0.3K0.5Na0.5NbO3)-0.154Sr0.7Bi0.2Ca0.1TiO3</t>
  </si>
  <si>
    <t>0.844(0.7Bi0.5Na0.5TiO3-0.3K0.5Na0.5NbO3)-0.156Sr0.7Bi0.2Ca0.1TiO3</t>
  </si>
  <si>
    <t>0.842(0.7Bi0.5Na0.5TiO3-0.3K0.5Na0.5NbO3)-0.158Sr0.7Bi0.2Ca0.1TiO3</t>
  </si>
  <si>
    <t>0.84(0.7Bi0.5Na0.5TiO3-0.3K0.5Na0.5NbO3)-0.16Sr0.7Bi0.2Ca0.1TiO3</t>
  </si>
  <si>
    <t>0.838(0.7Bi0.5Na0.5TiO3-0.3K0.5Na0.5NbO3)-0.162Sr0.7Bi0.2Ca0.1TiO3</t>
  </si>
  <si>
    <t>0.836(0.7Bi0.5Na0.5TiO3-0.3K0.5Na0.5NbO3)-0.164Sr0.7Bi0.2Ca0.1TiO3</t>
  </si>
  <si>
    <t>0.834(0.7Bi0.5Na0.5TiO3-0.3K0.5Na0.5NbO3)-0.166Sr0.7Bi0.2Ca0.1TiO3</t>
  </si>
  <si>
    <t>0.832(0.7Bi0.5Na0.5TiO3-0.3K0.5Na0.5NbO3)-0.168Sr0.7Bi0.2Ca0.1TiO3</t>
  </si>
  <si>
    <t>0.83(0.7Bi0.5Na0.5TiO3-0.3K0.5Na0.5NbO3)-0.17Sr0.7Bi0.2Ca0.1TiO3</t>
  </si>
  <si>
    <t>0.828(0.7Bi0.5Na0.5TiO3-0.3K0.5Na0.5NbO3)-0.172Sr0.7Bi0.2Ca0.1TiO3</t>
  </si>
  <si>
    <t>0.826(0.7Bi0.5Na0.5TiO3-0.3K0.5Na0.5NbO3)-0.174Sr0.7Bi0.2Ca0.1TiO3</t>
  </si>
  <si>
    <t>0.824(0.7Bi0.5Na0.5TiO3-0.3K0.5Na0.5NbO3)-0.176Sr0.7Bi0.2Ca0.1TiO3</t>
  </si>
  <si>
    <t>0.822(0.7Bi0.5Na0.5TiO3-0.3K0.5Na0.5NbO3)-0.178Sr0.7Bi0.2Ca0.1TiO3</t>
  </si>
  <si>
    <t>0.82(0.7Bi0.5Na0.5TiO3-0.3K0.5Na0.5NbO3)-0.18Sr0.7Bi0.2Ca0.1TiO3</t>
  </si>
  <si>
    <t>0.818(0.7Bi0.5Na0.5TiO3-0.3K0.5Na0.5NbO3)-0.182Sr0.7Bi0.2Ca0.1TiO3</t>
  </si>
  <si>
    <t>0.816(0.7Bi0.5Na0.5TiO3-0.3K0.5Na0.5NbO3)-0.184Sr0.7Bi0.2Ca0.1TiO3</t>
  </si>
  <si>
    <t>0.814(0.7Bi0.5Na0.5TiO3-0.3K0.5Na0.5NbO3)-0.186Sr0.7Bi0.2Ca0.1TiO3</t>
  </si>
  <si>
    <t>0.812(0.7Bi0.5Na0.5TiO3-0.3K0.5Na0.5NbO3)-0.188Sr0.7Bi0.2Ca0.1TiO3</t>
  </si>
  <si>
    <t>0.81(0.7Bi0.5Na0.5TiO3-0.3K0.5Na0.5NbO3)-0.19Sr0.7Bi0.2Ca0.1TiO3</t>
  </si>
  <si>
    <t>0.808(0.7Bi0.5Na0.5TiO3-0.3K0.5Na0.5NbO3)-0.192Sr0.7Bi0.2Ca0.1TiO3</t>
  </si>
  <si>
    <t>0.806(0.7Bi0.5Na0.5TiO3-0.3K0.5Na0.5NbO3)-0.194Sr0.7Bi0.2Ca0.1TiO3</t>
  </si>
  <si>
    <t>0.804(0.7Bi0.5Na0.5TiO3-0.3K0.5Na0.5NbO3)-0.196Sr0.7Bi0.2Ca0.1TiO3</t>
  </si>
  <si>
    <t>0.802(0.7Bi0.5Na0.5TiO3-0.3K0.5Na0.5NbO3)-0.198Sr0.7Bi0.2Ca0.1TiO3</t>
  </si>
  <si>
    <t>0.8(0.7Bi0.5Na0.5TiO3-0.3K0.5Na0.5NbO3)-0.2Sr0.7Bi0.2Ca0.1TiO3</t>
  </si>
  <si>
    <t>0.798(0.7Bi0.5Na0.5TiO3-0.3K0.5Na0.5NbO3)-0.202Sr0.7Bi0.2Ca0.1TiO3</t>
  </si>
  <si>
    <t>0.796(0.7Bi0.5Na0.5TiO3-0.3K0.5Na0.5NbO3)-0.204Sr0.7Bi0.2Ca0.1TiO3</t>
  </si>
  <si>
    <t>0.794(0.7Bi0.5Na0.5TiO3-0.3K0.5Na0.5NbO3)-0.206Sr0.7Bi0.2Ca0.1TiO3</t>
  </si>
  <si>
    <t>0.792(0.7Bi0.5Na0.5TiO3-0.3K0.5Na0.5NbO3)-0.208Sr0.7Bi0.2Ca0.1TiO3</t>
  </si>
  <si>
    <t>0.79(0.7Bi0.5Na0.5TiO3-0.3K0.5Na0.5NbO3)-0.21Sr0.7Bi0.2Ca0.1TiO3</t>
  </si>
  <si>
    <t>0.788(0.7Bi0.5Na0.5TiO3-0.3K0.5Na0.5NbO3)-0.212Sr0.7Bi0.2Ca0.1TiO3</t>
  </si>
  <si>
    <t>0.786(0.7Bi0.5Na0.5TiO3-0.3K0.5Na0.5NbO3)-0.214Sr0.7Bi0.2Ca0.1TiO3</t>
  </si>
  <si>
    <t>0.784(0.7Bi0.5Na0.5TiO3-0.3K0.5Na0.5NbO3)-0.216Sr0.7Bi0.2Ca0.1TiO3</t>
  </si>
  <si>
    <t>0.782(0.7Bi0.5Na0.5TiO3-0.3K0.5Na0.5NbO3)-0.218Sr0.7Bi0.2Ca0.1TiO3</t>
  </si>
  <si>
    <t>0.78(0.7Bi0.5Na0.5TiO3-0.3K0.5Na0.5NbO3)-0.22Sr0.7Bi0.2Ca0.1TiO3</t>
  </si>
  <si>
    <t>0.778(0.7Bi0.5Na0.5TiO3-0.3K0.5Na0.5NbO3)-0.222Sr0.7Bi0.2Ca0.1TiO3</t>
  </si>
  <si>
    <t>0.776(0.7Bi0.5Na0.5TiO3-0.3K0.5Na0.5NbO3)-0.224Sr0.7Bi0.2Ca0.1TiO3</t>
  </si>
  <si>
    <t>0.774(0.7Bi0.5Na0.5TiO3-0.3K0.5Na0.5NbO3)-0.226Sr0.7Bi0.2Ca0.1TiO3</t>
  </si>
  <si>
    <t>0.772(0.7Bi0.5Na0.5TiO3-0.3K0.5Na0.5NbO3)-0.228Sr0.7Bi0.2Ca0.1TiO3</t>
  </si>
  <si>
    <t>0.77(0.7Bi0.5Na0.5TiO3-0.3K0.5Na0.5NbO3)-0.23Sr0.7Bi0.2Ca0.1TiO3</t>
  </si>
  <si>
    <t>0.768(0.7Bi0.5Na0.5TiO3-0.3K0.5Na0.5NbO3)-0.232Sr0.7Bi0.2Ca0.1TiO3</t>
  </si>
  <si>
    <t>0.766(0.7Bi0.5Na0.5TiO3-0.3K0.5Na0.5NbO3)-0.234Sr0.7Bi0.2Ca0.1TiO3</t>
  </si>
  <si>
    <t>0.764(0.7Bi0.5Na0.5TiO3-0.3K0.5Na0.5NbO3)-0.236Sr0.7Bi0.2Ca0.1TiO3</t>
  </si>
  <si>
    <t>0.762(0.7Bi0.5Na0.5TiO3-0.3K0.5Na0.5NbO3)-0.238Sr0.7Bi0.2Ca0.1TiO3</t>
  </si>
  <si>
    <t>0.76(0.7Bi0.5Na0.5TiO3-0.3K0.5Na0.5NbO3)-0.24Sr0.7Bi0.2Ca0.1TiO3</t>
  </si>
  <si>
    <t>0.758(0.7Bi0.5Na0.5TiO3-0.3K0.5Na0.5NbO3)-0.242Sr0.7Bi0.2Ca0.1TiO3</t>
  </si>
  <si>
    <t>0.756(0.7Bi0.5Na0.5TiO3-0.3K0.5Na0.5NbO3)-0.244Sr0.7Bi0.2Ca0.1TiO3</t>
  </si>
  <si>
    <t>0.754(0.7Bi0.5Na0.5TiO3-0.3K0.5Na0.5NbO3)-0.246Sr0.7Bi0.2Ca0.1TiO3</t>
  </si>
  <si>
    <t>0.752(0.7Bi0.5Na0.5TiO3-0.3K0.5Na0.5NbO3)-0.248Sr0.7Bi0.2Ca0.1TiO3</t>
  </si>
  <si>
    <t>0.75(0.7Bi0.5Na0.5TiO3-0.3K0.5Na0.5NbO3)-0.25Sr0.7Bi0.2Ca0.1TiO3</t>
  </si>
  <si>
    <t>0.85K0.5Na0.5NbO3-0.15Bi(Zn2/3Ta1/3)O3</t>
  </si>
  <si>
    <t>0.95(0.55Bi0.5Na0.5TiO30.45Sr0.7Bi0.2TiO3)-0.05K0.5Na0.5NbO3</t>
  </si>
  <si>
    <t>已归一化</t>
  </si>
  <si>
    <t>A位总量=0.957250，按位点归一化后计算；电荷平衡检查异常: vA+vB=6.0871</t>
  </si>
  <si>
    <t>0.8BNT-0.2(0.7SrTiO3-0.3Bi0.5Li0.5TiO3)</t>
  </si>
  <si>
    <t>0.82Bi0.5Na0.5TiO3–0.18Sr1/2Nd1/3(Mg1/3Nb2/3)O3</t>
  </si>
  <si>
    <t>A位总量=0.970000，按位点归一化后计算；电荷平衡检查异常: vA+vB=6.0619</t>
  </si>
  <si>
    <t>0.85(0.94BNT-0.06BT)-0.15BiMg2/3Nb1/3O3</t>
  </si>
  <si>
    <t>0.85NaNbO3-0.15Bi0.1Sr0.85TiO3</t>
  </si>
  <si>
    <t>A位总量=0.992500，按位点归一化后计算</t>
  </si>
  <si>
    <t>0.2（0.4Bi0.5Na0.5TiO3-0.60BaTiO3）-0.8SrTiO3</t>
  </si>
  <si>
    <t>0.60Bi₀.₅Na₀.₅TiO₃-0.20BaTiO₃-0.20BiScO₃-TSS (0.20BS-TSS)</t>
  </si>
  <si>
    <t>0.92(0.65BNT-0.35BST)-0.08NN</t>
  </si>
  <si>
    <t>0.6[0.92Ba0.85Ca0.15Zr0.1Ti0.9O3-0.08Bi(Zn2/3Ta1/3)O3]-0.4(Sr0.7Bi0.2)TiO3</t>
  </si>
  <si>
    <t>A位总量=0.960000，按位点归一化后计算；电荷平衡检查异常: vA+vB=6.0853</t>
  </si>
  <si>
    <t>0.8Bi0.5Na0.5TiO3-0.2Sr0.7Sm0.2TiO3</t>
  </si>
  <si>
    <t>A位总量=0.980000，按位点归一化后计算</t>
  </si>
  <si>
    <t>0.8K0.2La0.2Bi0.3Na0.3TiO3-0.2Sr0.7Bi0.2Ca0.1TiO3</t>
  </si>
  <si>
    <t>0.67Bi₀.₅Na₀.₅TiO₃-0.33Sr₀.₇La₀.₂Zr₀.₁₅Ti₀.₈₅O₃</t>
  </si>
  <si>
    <t>A位总量=0.967000，按位点归一化后计算；电荷平衡检查异常: vA+vB=6.0683</t>
  </si>
  <si>
    <t>0.5Bi₀.₅Na₀.₅TiO₃-0.5Sr₀.₈₅Sm₀.₁TiO₃</t>
  </si>
  <si>
    <t>A位总量=0.975000，按位点归一化后计算；电荷平衡检查异常: vA+vB=6.0513</t>
  </si>
  <si>
    <t>0.95(0.9Bi₀.₅Na₀.₅TiO₃-0.1Ba₀.₈₅Ca₀.₁₅Zr₀.₁Ti₀.₉O₃)-0.05BaSnO₃</t>
  </si>
  <si>
    <t>0.91(Bi0.5Na0.5)TiO3-0.09Ba(Mg0.5W0.5)O3</t>
  </si>
  <si>
    <t>0.7Bi0.5Na0.5TiO3-0.3Sr0.7La0.2Nb0.5Al0.5O3</t>
  </si>
  <si>
    <t>(Bi₀.₄₇Sm₀.₀₃Na₀.₄₂)₀.₉₄Ba₀.₀₆TiO₃</t>
  </si>
  <si>
    <t>A位总量=0.924800，按位点归一化后计算；电荷平衡检查异常: vA+vB=6.0813</t>
  </si>
  <si>
    <t>0.88Bi0.35Na0.35Sr0.3TiO3-0.12BaZr0.15Ti0.85O3</t>
  </si>
  <si>
    <t>0.3Bi₀.₅Na₀.₅TiO₃-0.7[0.88BaTiO₃-0.12Bi(Zn₂/₃Nb₁/₃)O₃]</t>
  </si>
  <si>
    <t>0.5Bi₀.₅Na₀.₅TiO₃-0.5Sr₀.₇Sm₀.₂TiO₃</t>
  </si>
  <si>
    <t>A位总量=0.950000，按位点归一化后计算；电荷平衡检查异常: vA+vB=6.1053</t>
  </si>
  <si>
    <t>0.6(Bi₀.₅Na₀.₄₇Li₀.₀₃Ti₀.₉₉Sn₀.₀₁O₃)-0.4SrTiO₃</t>
  </si>
  <si>
    <t>0.85[0.7Bi0.5Na0.5TiO3-0.3Bi0.1Sr0.85TiO3]-0.15KNbO3</t>
  </si>
  <si>
    <t>A位总量=0.987250，按位点归一化后计算</t>
  </si>
  <si>
    <t>(Bi₀.₅Na₀.₅)₀.₆Sr₀.₄Ti₀.₉₈(Fe₀.₅Nb₀.₅)₀.₀₂O₃</t>
  </si>
  <si>
    <t>0.6Bi₀.₅Na₀.₅TiO₃-0.4SrTi₀.₈Ta₀.₁₆O₃</t>
  </si>
  <si>
    <t>B位总量=0.984000，按位点归一化后计算；电荷平衡检查异常: vA+vB=6.0650</t>
  </si>
  <si>
    <t>0.6Bi₀.₅₁Na₀.₄₇TiO₃-0.4Ba(Zr₀.₃Ti₀.₇)O₃</t>
  </si>
  <si>
    <t>A位总量=0.988000，按位点归一化后计算</t>
  </si>
  <si>
    <t>0.644Bi0.5Na0.5TiO3-0.276SrTiO3-0.08LaMg0.5Sn0.5O3</t>
  </si>
  <si>
    <t>(Bi₀.₅Na₀.₅)₀.₉₃Ca₀.₀₇Ti₀.₈₅Zr₀.₁₅O₃</t>
  </si>
  <si>
    <t>0.55Bi₀.₅Na₀.₅TiO₃-0.45(Sr₀.₇La₀.₂)(Ti₀.₈Sn₀.₂)O₃</t>
  </si>
  <si>
    <t>A位总量=0.955000，按位点归一化后计算；电荷平衡检查异常: vA+vB=6.0942</t>
  </si>
  <si>
    <t>0.6Bi₀.₅Na₀.₅TiO₃-0.4SrTi₀.₈Sn₀.₂O₃</t>
  </si>
  <si>
    <t>0.88(0.85Bi₀.₅Na₀.₅TiO₃-0.15Ba₀.₉₄Sm₀.₀₆TiO₃)-0.12NaNbO₃</t>
  </si>
  <si>
    <t>(Bi₀.₅Na₀.₅)₀.₈Ba₀.₂Ti₀.₈Sn₀.₂O₃</t>
  </si>
  <si>
    <t>0.9Bi0.5Na0.5TiO3-0.1 K0.82Bi0.06NbO3</t>
  </si>
  <si>
    <t>0.6Bi0.5Na0.5TiO3-0.4Sr0.7Bi0.2TiO3</t>
  </si>
  <si>
    <t>A位总量=0.960000，按位点归一化后计算；电荷平衡检查异常: vA+vB=6.0833</t>
  </si>
  <si>
    <t>0.9[(Bi₀.₅Na₀.₅)₀.₉₄Ba₀.₀₆]₀.₉₈La₀.₀₂TiO₃-0.10KNb₀.₆Ta₀.₄O₃</t>
  </si>
  <si>
    <t>0.95(0.76Bi0.5Na0.5TiO3–0.24SrTiO3)–0.05AgNbO3</t>
  </si>
  <si>
    <t>0.9(0.92Bi₀.₅Na₀.₅TiO₃-0.08BaTiO₃)-0.10Bi(Mg₀.₅Ti₀.₅)O₃</t>
  </si>
  <si>
    <t>[(Bi₀.₉₃La₀.₀₇)₀.₅Na₀.₅]₀.₉₄Ba₀.₀₆(Ti₀.₉₇₅Nb₀.₀₂)O₃</t>
  </si>
  <si>
    <t>B位总量=0.995000，按位点归一化后计算</t>
  </si>
  <si>
    <t>0.96[(Bi₀.₅Na₀.₅)₀.₉₄Ba₀.₀₆]TiO₃-0.04La[Zn₂/₃(Nb₀.₅Ta₀.₅)₁/₃]O₃</t>
  </si>
  <si>
    <t>0.8[(0.98(0.94Bi₀.₅Na₀.₅TiO₃-0.06BaTiO₃)-0.02Sr₀.₈Na₀.₄Nb₂O₆)]-0.2NaNbO₃</t>
  </si>
  <si>
    <t>A位总量=1.003200，按位点归一化后计算；B位总量=1.016000，按位点归一化后计算</t>
  </si>
  <si>
    <t>(Bi₀.₅Na₀.₅)₀.₉₃Ba₀.₀₇Ti₀.₉₈Sn₀.₂O₃</t>
  </si>
  <si>
    <t>B位总量=1.180000，按位点归一化后计算</t>
  </si>
  <si>
    <t>0.94(Bi₀.₅Na₀.₅)(Y₀.₅Ta₀.₅)₀.₃Ti₀.₇O₃-0.06BaTiO₃</t>
  </si>
  <si>
    <t>0.9(0.92Bi₀.₅Na₀.₅TiO₃-0.08BaTiO₃)-0.10NaNbO₃</t>
  </si>
  <si>
    <t>0.82(0.92Bi₀.₅Na₀.₅TiO₃-0.08BaTiO₃)-0.08SrZrO₃-0.10NaNbO₃</t>
  </si>
  <si>
    <t>(Bi₀.₅Na₀.₅)₀.₉₄Ba₀.₀₆Ti₀.₉₅(Y₀.₅Nb₀.₅)₀.₀₅O₃</t>
  </si>
  <si>
    <t>Bi₀.₄₇Ho₀.₀₃Na₀.₅TiO₃</t>
  </si>
  <si>
    <t>0.9Ba0.6Sr0.4TiO3-0.1Bi0.5Na0.5TiO3</t>
  </si>
  <si>
    <t>离子</t>
  </si>
  <si>
    <t>位点</t>
  </si>
  <si>
    <t>元素</t>
  </si>
  <si>
    <t>名义价态</t>
  </si>
  <si>
    <t>wa/wb 相对原子质量</t>
  </si>
  <si>
    <t>ana/anb 原子序数</t>
  </si>
  <si>
    <t>eaa/eab 电子亲和能 (eV)</t>
  </si>
  <si>
    <t>ara/arb 原子半径 (pm)</t>
  </si>
  <si>
    <t>rcova/rcovb 共价半径 (pm)</t>
  </si>
  <si>
    <t>raa/rba Shannon离子半径 (Å)</t>
  </si>
  <si>
    <t>Shannon配位数</t>
  </si>
  <si>
    <t>bva/bvb 理想A/B-O键长</t>
  </si>
  <si>
    <t>va/vb 原子体积 (cm^3/mol)</t>
  </si>
  <si>
    <t>cvwa/cvwb 晶体学范德华半径 (pm)</t>
  </si>
  <si>
    <t>evwa/evwb 平衡范德华半径 (pm)</t>
  </si>
  <si>
    <t>pea/peb 周期</t>
  </si>
  <si>
    <t>rdvea/rdveb 价电子距离(Schubert)</t>
  </si>
  <si>
    <t>rdcea/rdceb 芯电子距离(Schubert)</t>
  </si>
  <si>
    <t>effsa/effsb 有效核电荷(Slater)</t>
  </si>
  <si>
    <t>effac/effbc 有效核电荷(Clementi)</t>
  </si>
  <si>
    <t>zrka/zrkb 名义电荷/Shannon离子半径</t>
  </si>
  <si>
    <t>dpa/dpb 极化率 (bohr^3)</t>
  </si>
  <si>
    <t>snap/enbp Pauling电负性</t>
  </si>
  <si>
    <t>enamb/enbmb Martynov-Batsanov电负性</t>
  </si>
  <si>
    <t>feia/feib 第一电离能 (eV)</t>
  </si>
  <si>
    <t>seia/seib 第二电离能 (eV)</t>
  </si>
  <si>
    <t>teia/teib 第三电离能 (eV)</t>
  </si>
  <si>
    <t>eaa.1/eab.1 绝对电负性=(IE1+EA)/2 (eV)</t>
  </si>
  <si>
    <t>cra/crb 赝势芯半径(Zunger)</t>
  </si>
  <si>
    <t>t 容差因子</t>
  </si>
  <si>
    <t>u 八面体因子</t>
  </si>
  <si>
    <t>已填数（可批量项）</t>
  </si>
  <si>
    <t>备注</t>
  </si>
  <si>
    <t>来源</t>
  </si>
  <si>
    <t>Ba²⁺</t>
  </si>
  <si>
    <t>A</t>
  </si>
  <si>
    <t>Ba</t>
  </si>
  <si>
    <t>非单离子参数，需按体系平均半径计算</t>
  </si>
  <si>
    <t>已填23/23项</t>
  </si>
  <si>
    <t>B位Shannon半径按钙钛矿常规六配位优先；A位优先12配位</t>
  </si>
  <si>
    <t>https://phases.imet-db.ru/elements/properties_all_given.aspx?elem=56;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</si>
  <si>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Sr²⁺</t>
  </si>
  <si>
    <t>Sr</t>
  </si>
  <si>
    <t>https://phases.imet-db.ru/elements/properties_all_given.aspx?elem=38;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</si>
  <si>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Bi³⁺</t>
  </si>
  <si>
    <t>Bi</t>
  </si>
  <si>
    <t>Shannon半径无目标配位数CN=12，改用CN=8；B位Shannon半径按钙钛矿常规六配位优先；A位优先12配位</t>
  </si>
  <si>
    <t>https://phases.imet-db.ru/elements/properties_all_given.aspx?elem=83;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</si>
  <si>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Na⁺</t>
  </si>
  <si>
    <t>Na</t>
  </si>
  <si>
    <t>https://phases.imet-db.ru/elements/properties_all_given.aspx?elem=11;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</si>
  <si>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Ti⁴⁺</t>
  </si>
  <si>
    <t>B</t>
  </si>
  <si>
    <t>Ti</t>
  </si>
  <si>
    <t>https://phases.imet-db.ru/elements/properties_all_given.aspx?elem=22;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</si>
  <si>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Ho³⁺</t>
  </si>
  <si>
    <t>Ho</t>
  </si>
  <si>
    <t>已填22/23项</t>
  </si>
  <si>
    <t>Shannon半径无目标配位数CN=12，改用CN=10；B位Shannon半径按钙钛矿常规六配位优先；A位优先12配位</t>
  </si>
  <si>
    <t>https://phases.imet-db.ru/elements/properties_all_given.aspx?elem=67;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</si>
  <si>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Y³⁺</t>
  </si>
  <si>
    <t>Y</t>
  </si>
  <si>
    <t>https://phases.imet-db.ru/elements/properties_all_given.aspx?elem=39;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</si>
  <si>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Nb⁵⁺</t>
  </si>
  <si>
    <t>Nb</t>
  </si>
  <si>
    <t>https://phases.imet-db.ru/elements/properties_all_given.aspx?elem=41;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</si>
  <si>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Zr⁴⁺</t>
  </si>
  <si>
    <t>Zr</t>
  </si>
  <si>
    <t>https://phases.imet-db.ru/elements/properties_all_given.aspx?elem=40;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</si>
  <si>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Ta⁵⁺</t>
  </si>
  <si>
    <t>Ta</t>
  </si>
  <si>
    <t>https://phases.imet-db.ru/elements/properties_all_given.aspx?elem=73;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</si>
  <si>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Sn⁴⁺</t>
  </si>
  <si>
    <t>Sn</t>
  </si>
  <si>
    <t>https://phases.imet-db.ru/elements/properties_all_given.aspx?elem=50;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</si>
  <si>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La³⁺</t>
  </si>
  <si>
    <t>La</t>
  </si>
  <si>
    <t>https://phases.imet-db.ru/elements/properties_all_given.aspx?elem=57;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</si>
  <si>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Zn²⁺</t>
  </si>
  <si>
    <t>Zn</t>
  </si>
  <si>
    <t>已填21/23项</t>
  </si>
  <si>
    <t>电子亲和能公开数据缺失/符号约定不统一，未强行补值；B位Shannon半径按钙钛矿常规六配位优先；A位优先12配位</t>
  </si>
  <si>
    <t>https://phases.imet-db.ru/elements/properties_all_given.aspx?elem=30;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</si>
  <si>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Mg²⁺</t>
  </si>
  <si>
    <t>Mg</t>
  </si>
  <si>
    <t>https://phases.imet-db.ru/elements/properties_all_given.aspx?elem=12;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</si>
  <si>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Ag⁺</t>
  </si>
  <si>
    <t>Ag</t>
  </si>
  <si>
    <t>https://phases.imet-db.ru/elements/properties_all_given.aspx?elem=47;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</si>
  <si>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K⁺</t>
  </si>
  <si>
    <t>K</t>
  </si>
  <si>
    <t>https://phases.imet-db.ru/elements/properties_all_given.aspx?elem=19;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</si>
  <si>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Sm³⁺</t>
  </si>
  <si>
    <t>Sm</t>
  </si>
  <si>
    <t>https://phases.imet-db.ru/elements/properties_all_given.aspx?elem=62;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</si>
  <si>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Ca²⁺</t>
  </si>
  <si>
    <t>Ca</t>
  </si>
  <si>
    <t>https://phases.imet-db.ru/elements/properties_all_given.aspx?elem=20;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</si>
  <si>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Fe³⁺</t>
  </si>
  <si>
    <t>Fe</t>
  </si>
  <si>
    <t>https://phases.imet-db.ru/elements/properties_all_given.aspx?elem=26;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</si>
  <si>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Li⁺</t>
  </si>
  <si>
    <t>Li</t>
  </si>
  <si>
    <t>https://phases.imet-db.ru/elements/properties_all_given.aspx?elem=3;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</si>
  <si>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Al³⁺</t>
  </si>
  <si>
    <t>Al</t>
  </si>
  <si>
    <t>https://phases.imet-db.ru/elements/properties_all_given.aspx?elem=13;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</si>
  <si>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W⁶⁺</t>
  </si>
  <si>
    <t>W</t>
  </si>
  <si>
    <t>https://phases.imet-db.ru/elements/properties_all_given.aspx?elem=74;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</si>
  <si>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Sc³⁺</t>
  </si>
  <si>
    <t>Sc</t>
  </si>
  <si>
    <t>https://phases.imet-db.ru/elements/properties_all_given.aspx?elem=21;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</si>
  <si>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Hf⁴⁺</t>
  </si>
  <si>
    <t>Hf</t>
  </si>
  <si>
    <t>https://phases.imet-db.ru/elements/properties_all_given.aspx?elem=72;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</si>
  <si>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Nd³⁺</t>
  </si>
  <si>
    <t>Nd</t>
  </si>
  <si>
    <t>https://phases.imet-db.ru/elements/properties_all_given.aspx?elem=60; https://raw.githubusercontent.com/lmmentel/mendeleev-data/main/data/json/elements.json; https://raw.githubusercontent.com/lmmentel/mendeleev-data/main/data/json/ionicradii.json; https://raw.githubusercontent.com/lmmentel/mendeleev-data/main/data/json/ionizationenergies.json; https://raw.githubusercontent.com/lmmentel/mendeleev-data/main/data/json/screeningconstants.json; https://www.rsc.org/suppdata/d5/tc/d5tc00865d/d5tc00865d1.pdf</t>
  </si>
  <si>
    <t>字段</t>
  </si>
  <si>
    <t>定义 / 公式</t>
  </si>
  <si>
    <t>说明</t>
  </si>
  <si>
    <t>Shannon半径来源</t>
  </si>
  <si>
    <t>直接引用“离子特征参数”表中的 raa/rba Shannon离子半径 (Å)</t>
  </si>
  <si>
    <t>A位优先 CN=12；若表中无该配位数，则沿用离子表已有取值</t>
  </si>
  <si>
    <t>t=(r_A+r_O)/(√2·(r_B+r_O))</t>
  </si>
  <si>
    <t>固定采用 r_O=1.40 Å</t>
  </si>
  <si>
    <t>μ=r_B/r_O</t>
  </si>
  <si>
    <t>A/B位平均半径</t>
  </si>
  <si>
    <t>r̄=Σx_i r_i</t>
  </si>
  <si>
    <t>x_i 为该位点归一化摩尔分数</t>
  </si>
  <si>
    <t>A/B位半径方差</t>
  </si>
  <si>
    <t>σ_r^2=Σx_i(r_i-r̄)^2</t>
  </si>
  <si>
    <t>单位 Å^2</t>
  </si>
  <si>
    <t>A/B位半径失配</t>
  </si>
  <si>
    <t>δ_r=[Σx_i(1-r_i/r̄)^2]^(1/2)</t>
  </si>
  <si>
    <t>无量纲，反映位点尺寸离散度</t>
  </si>
  <si>
    <t>构型熵</t>
  </si>
  <si>
    <t>ΔS=-RΣx_i ln x_i</t>
  </si>
  <si>
    <t>R=8.314463 J/mol·K；分别给出 A、B 及总熵</t>
  </si>
  <si>
    <t>电负性差</t>
  </si>
  <si>
    <t>Δχ(A-O)=|χ_O-χ̄_A|；Δχ(B-O)=|χ_O-χ̄_B|；Δχ(A-B)=|χ̄_A-χ̄_B|</t>
  </si>
  <si>
    <t>χ_O 固定采用 Pauling 电负性 3.44</t>
  </si>
  <si>
    <t>价态失配</t>
  </si>
  <si>
    <t>σV=[Σx_i(V_i-V̄)^2]^(1/2)</t>
  </si>
  <si>
    <t>分别给出 A、B 位及总价态失配</t>
  </si>
  <si>
    <t>平均离子半径比</t>
  </si>
  <si>
    <t>r̄_A/r̄_B</t>
  </si>
  <si>
    <t>A/B位平均 Shannon 半径之比</t>
  </si>
  <si>
    <t>平均半径差</t>
  </si>
  <si>
    <t>r̄_A-r̄_B</t>
  </si>
  <si>
    <t>单位 Å</t>
  </si>
  <si>
    <t>补充描述符</t>
  </si>
  <si>
    <t>A/B位平均相对原子质量、平均极化率、平均第一电离能、元素位点分数</t>
  </si>
  <si>
    <t>更适合直接送入机器学习模型</t>
  </si>
  <si>
    <t>归一化规则</t>
  </si>
  <si>
    <t>当 K/L 两列原始摩尔和 ≠ 1.00 时，先在各自位点内归一化，再计算描述符</t>
  </si>
  <si>
    <t>原始总量保留在“A位原始总量/B位原始总量”列</t>
  </si>
  <si>
    <t>状态=OK</t>
  </si>
  <si>
    <t>原始 K/L 数据可直接计算，且无需归一化</t>
  </si>
  <si>
    <t>状态=已归一化</t>
  </si>
  <si>
    <t>原始 K/L 数据可解析，但位点总量不等于 1.00</t>
  </si>
  <si>
    <t>描述符基于归一化后的位点分数</t>
  </si>
  <si>
    <t>状态=需人工确认</t>
  </si>
  <si>
    <t>原始记录存在明显不一致（如离子列表与摩尔组成不一致，或电荷平衡明显异常）</t>
  </si>
  <si>
    <t>建议优先检查原始文献/录入值</t>
  </si>
  <si>
    <t>特别说明</t>
  </si>
  <si>
    <t>第 61–161 行已按 (1-x)(0.7Bi0.5Na0.5TiO3-0.3K0.5Na0.5NbO3)-xSr0.7Bi0.2Ca0.1TiO3 自动补全 A/B 位组成</t>
  </si>
  <si>
    <t>公式：A位 Bi=0.35-0.15x, Na=0.5-0.5x, K=0.15-0.15x, Sr=0.7x, Ca=0.1x；B位 Ti=0.7+0.3x, Nb=0.3-0.3x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</si>
</sst>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0F172A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E6FF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/>
    </xf>
    <xf numFmtId="0" fontId="0" fillId="0" borderId="0" xfId="49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49"/>
  <sheetViews>
    <sheetView tabSelected="1" zoomScale="55" zoomScaleNormal="55" topLeftCell="A66" workbookViewId="0">
      <selection activeCell="G50" sqref="G50"/>
    </sheetView>
  </sheetViews>
  <sheetFormatPr defaultColWidth="9" defaultRowHeight="13.5"/>
  <cols>
    <col min="1" max="2" width="10" customWidth="1"/>
    <col min="3" max="3" width="46" customWidth="1"/>
    <col min="4" max="4" width="9" customWidth="1"/>
    <col min="5" max="6" width="12" customWidth="1"/>
    <col min="7" max="7" width="10" customWidth="1"/>
    <col min="8" max="8" width="11" customWidth="1"/>
    <col min="9" max="9" width="12" customWidth="1"/>
    <col min="10" max="10" width="36" customWidth="1"/>
    <col min="11" max="39" width="15" customWidth="1"/>
    <col min="40" max="66" width="10" customWidth="1"/>
  </cols>
  <sheetData>
    <row r="1" ht="24" customHeight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ht="34.2" customHeight="1" spans="1:66">
      <c r="A2" s="7">
        <v>61</v>
      </c>
      <c r="B2" s="7">
        <v>1</v>
      </c>
      <c r="C2" s="3" t="s">
        <v>66</v>
      </c>
      <c r="D2" s="6">
        <v>0.05</v>
      </c>
      <c r="E2" s="6">
        <v>1.94</v>
      </c>
      <c r="F2" s="6">
        <v>140</v>
      </c>
      <c r="G2" s="6">
        <f>E2/F2</f>
        <v>0.0138571428571429</v>
      </c>
      <c r="H2" s="6">
        <v>75.24</v>
      </c>
      <c r="I2" s="3" t="s">
        <v>67</v>
      </c>
      <c r="J2" s="3"/>
      <c r="K2" s="6">
        <v>1</v>
      </c>
      <c r="L2" s="6">
        <v>1</v>
      </c>
      <c r="M2" s="6">
        <v>1.351775</v>
      </c>
      <c r="N2" s="6">
        <v>0.614975</v>
      </c>
      <c r="O2" s="6">
        <v>2.19809748363755</v>
      </c>
      <c r="P2" s="6">
        <v>0.7368</v>
      </c>
      <c r="Q2" s="6">
        <v>0.965668935247143</v>
      </c>
      <c r="R2" s="6">
        <v>0.439267857142857</v>
      </c>
      <c r="S2" s="6">
        <v>0.024122099375</v>
      </c>
      <c r="T2" s="6">
        <v>0.000249624375</v>
      </c>
      <c r="U2" s="6">
        <v>0.114895532131568</v>
      </c>
      <c r="V2" s="6">
        <v>0.0256912972563719</v>
      </c>
      <c r="W2" s="6">
        <v>9.49567419066625</v>
      </c>
      <c r="X2" s="6">
        <v>4.9688379708459</v>
      </c>
      <c r="Y2" s="6">
        <v>14.4645121615121</v>
      </c>
      <c r="Z2" s="6">
        <v>1.2476</v>
      </c>
      <c r="AA2" s="6">
        <v>1.5571</v>
      </c>
      <c r="AB2" s="6">
        <v>2.1924</v>
      </c>
      <c r="AC2" s="6">
        <v>1.8829</v>
      </c>
      <c r="AD2" s="6">
        <v>0.3095</v>
      </c>
      <c r="AE2" s="6">
        <v>1.725</v>
      </c>
      <c r="AF2" s="6">
        <v>4.285</v>
      </c>
      <c r="AG2" s="6">
        <v>0.940412143690201</v>
      </c>
      <c r="AH2" s="6">
        <v>0.451414443721067</v>
      </c>
      <c r="AI2" s="6">
        <v>0.737614397907199</v>
      </c>
      <c r="AJ2" s="6">
        <v>91.334525158</v>
      </c>
      <c r="AK2" s="6">
        <v>60.70322045</v>
      </c>
      <c r="AL2" s="6">
        <v>142.71075</v>
      </c>
      <c r="AM2" s="6">
        <v>99.43</v>
      </c>
      <c r="AN2" s="6">
        <v>5.784781505625</v>
      </c>
      <c r="AO2" s="6">
        <v>6.80837805</v>
      </c>
      <c r="AP2" s="6">
        <v>0</v>
      </c>
      <c r="AQ2" s="6">
        <v>0</v>
      </c>
      <c r="AR2" s="6">
        <v>0.3425</v>
      </c>
      <c r="AS2" s="6">
        <v>0.005</v>
      </c>
      <c r="AT2" s="6">
        <v>0</v>
      </c>
      <c r="AU2" s="6">
        <v>0.1425</v>
      </c>
      <c r="AV2" s="6">
        <v>0</v>
      </c>
      <c r="AW2" s="6">
        <v>0</v>
      </c>
      <c r="AX2" s="6">
        <v>0.475</v>
      </c>
      <c r="AY2" s="6">
        <v>0</v>
      </c>
      <c r="AZ2" s="6">
        <v>0</v>
      </c>
      <c r="BA2" s="6">
        <v>0.035</v>
      </c>
      <c r="BB2" s="6">
        <v>0</v>
      </c>
      <c r="BC2" s="6">
        <v>0</v>
      </c>
      <c r="BD2" s="6">
        <v>0</v>
      </c>
      <c r="BE2" s="6">
        <v>0</v>
      </c>
      <c r="BF2" s="6">
        <v>0.285</v>
      </c>
      <c r="BG2" s="6">
        <v>0</v>
      </c>
      <c r="BH2" s="6">
        <v>0</v>
      </c>
      <c r="BI2" s="6">
        <v>0</v>
      </c>
      <c r="BJ2" s="6">
        <v>0.715</v>
      </c>
      <c r="BK2" s="6">
        <v>0</v>
      </c>
      <c r="BL2" s="6">
        <v>0</v>
      </c>
      <c r="BM2" s="6">
        <v>0</v>
      </c>
      <c r="BN2" s="6">
        <v>0</v>
      </c>
    </row>
    <row r="3" ht="34.2" customHeight="1" spans="1:66">
      <c r="A3" s="7">
        <v>62</v>
      </c>
      <c r="B3" s="7">
        <v>2</v>
      </c>
      <c r="C3" s="3" t="s">
        <v>68</v>
      </c>
      <c r="D3" s="6">
        <v>0.052</v>
      </c>
      <c r="E3" s="6">
        <v>2.125</v>
      </c>
      <c r="F3" s="6">
        <v>143</v>
      </c>
      <c r="G3" s="6">
        <f t="shared" ref="G3:G34" si="0">E3/F3</f>
        <v>0.0148601398601399</v>
      </c>
      <c r="H3" s="6">
        <v>75.35</v>
      </c>
      <c r="I3" s="3" t="s">
        <v>67</v>
      </c>
      <c r="J3" s="3"/>
      <c r="K3" s="6">
        <v>1</v>
      </c>
      <c r="L3" s="6">
        <v>1</v>
      </c>
      <c r="M3" s="6">
        <v>1.351826</v>
      </c>
      <c r="N3" s="6">
        <v>0.614954</v>
      </c>
      <c r="O3" s="6">
        <v>2.19825547927162</v>
      </c>
      <c r="P3" s="6">
        <v>0.736872</v>
      </c>
      <c r="Q3" s="6">
        <v>0.965696896924422</v>
      </c>
      <c r="R3" s="6">
        <v>0.439252857142857</v>
      </c>
      <c r="S3" s="6">
        <v>0.024096725724</v>
      </c>
      <c r="T3" s="6">
        <v>0.000249307884</v>
      </c>
      <c r="U3" s="6">
        <v>0.114830755490333</v>
      </c>
      <c r="V3" s="6">
        <v>0.0256758822645272</v>
      </c>
      <c r="W3" s="6">
        <v>9.52951024182251</v>
      </c>
      <c r="X3" s="6">
        <v>4.96424207083422</v>
      </c>
      <c r="Y3" s="6">
        <v>14.4937523126567</v>
      </c>
      <c r="Z3" s="6">
        <v>1.247384</v>
      </c>
      <c r="AA3" s="6">
        <v>1.557064</v>
      </c>
      <c r="AB3" s="6">
        <v>2.192616</v>
      </c>
      <c r="AC3" s="6">
        <v>1.882936</v>
      </c>
      <c r="AD3" s="6">
        <v>0.30968</v>
      </c>
      <c r="AE3" s="6">
        <v>1.726</v>
      </c>
      <c r="AF3" s="6">
        <v>4.2844</v>
      </c>
      <c r="AG3" s="6">
        <v>0.939853180023348</v>
      </c>
      <c r="AH3" s="6">
        <v>0.451128185774287</v>
      </c>
      <c r="AI3" s="6">
        <v>0.737170482317354</v>
      </c>
      <c r="AJ3" s="6">
        <v>91.36779537872</v>
      </c>
      <c r="AK3" s="6">
        <v>60.676196828</v>
      </c>
      <c r="AL3" s="6">
        <v>142.75498</v>
      </c>
      <c r="AM3" s="6">
        <v>99.4312</v>
      </c>
      <c r="AN3" s="6">
        <v>5.78535002027</v>
      </c>
      <c r="AO3" s="6">
        <v>6.808419612</v>
      </c>
      <c r="AP3" s="6">
        <v>0</v>
      </c>
      <c r="AQ3" s="6">
        <v>0</v>
      </c>
      <c r="AR3" s="6">
        <v>0.3422</v>
      </c>
      <c r="AS3" s="6">
        <v>0.0052</v>
      </c>
      <c r="AT3" s="6">
        <v>0</v>
      </c>
      <c r="AU3" s="6">
        <v>0.1422</v>
      </c>
      <c r="AV3" s="6">
        <v>0</v>
      </c>
      <c r="AW3" s="6">
        <v>0</v>
      </c>
      <c r="AX3" s="6">
        <v>0.474</v>
      </c>
      <c r="AY3" s="6">
        <v>0</v>
      </c>
      <c r="AZ3" s="6">
        <v>0</v>
      </c>
      <c r="BA3" s="6">
        <v>0.0364</v>
      </c>
      <c r="BB3" s="6">
        <v>0</v>
      </c>
      <c r="BC3" s="6">
        <v>0</v>
      </c>
      <c r="BD3" s="6">
        <v>0</v>
      </c>
      <c r="BE3" s="6">
        <v>0</v>
      </c>
      <c r="BF3" s="6">
        <v>0.2844</v>
      </c>
      <c r="BG3" s="6">
        <v>0</v>
      </c>
      <c r="BH3" s="6">
        <v>0</v>
      </c>
      <c r="BI3" s="6">
        <v>0</v>
      </c>
      <c r="BJ3" s="6">
        <v>0.7156</v>
      </c>
      <c r="BK3" s="6">
        <v>0</v>
      </c>
      <c r="BL3" s="6">
        <v>0</v>
      </c>
      <c r="BM3" s="6">
        <v>0</v>
      </c>
      <c r="BN3" s="6">
        <v>0</v>
      </c>
    </row>
    <row r="4" ht="34.2" customHeight="1" spans="1:66">
      <c r="A4" s="7">
        <v>63</v>
      </c>
      <c r="B4" s="7">
        <v>3</v>
      </c>
      <c r="C4" s="3" t="s">
        <v>69</v>
      </c>
      <c r="D4" s="6">
        <v>0.054</v>
      </c>
      <c r="E4" s="6">
        <v>2.183</v>
      </c>
      <c r="F4" s="6">
        <v>147</v>
      </c>
      <c r="G4" s="6">
        <f t="shared" si="0"/>
        <v>0.0148503401360544</v>
      </c>
      <c r="H4" s="6">
        <v>77.1</v>
      </c>
      <c r="I4" s="3" t="s">
        <v>67</v>
      </c>
      <c r="J4" s="3"/>
      <c r="K4" s="6">
        <v>1</v>
      </c>
      <c r="L4" s="6">
        <v>1</v>
      </c>
      <c r="M4" s="6">
        <v>1.351877</v>
      </c>
      <c r="N4" s="6">
        <v>0.614933</v>
      </c>
      <c r="O4" s="6">
        <v>2.19841348569682</v>
      </c>
      <c r="P4" s="6">
        <v>0.736944</v>
      </c>
      <c r="Q4" s="6">
        <v>0.965724859184545</v>
      </c>
      <c r="R4" s="6">
        <v>0.439237857142857</v>
      </c>
      <c r="S4" s="6">
        <v>0.024071346871</v>
      </c>
      <c r="T4" s="6">
        <v>0.000248990511</v>
      </c>
      <c r="U4" s="6">
        <v>0.114765939505995</v>
      </c>
      <c r="V4" s="6">
        <v>0.0256604104263787</v>
      </c>
      <c r="W4" s="6">
        <v>9.56280951738393</v>
      </c>
      <c r="X4" s="6">
        <v>4.9596314633852</v>
      </c>
      <c r="Y4" s="6">
        <v>14.5224409807691</v>
      </c>
      <c r="Z4" s="6">
        <v>1.247168</v>
      </c>
      <c r="AA4" s="6">
        <v>1.557028</v>
      </c>
      <c r="AB4" s="6">
        <v>2.192832</v>
      </c>
      <c r="AC4" s="6">
        <v>1.882972</v>
      </c>
      <c r="AD4" s="6">
        <v>0.30986</v>
      </c>
      <c r="AE4" s="6">
        <v>1.727</v>
      </c>
      <c r="AF4" s="6">
        <v>4.2838</v>
      </c>
      <c r="AG4" s="6">
        <v>0.939292819093173</v>
      </c>
      <c r="AH4" s="6">
        <v>0.45084094756355</v>
      </c>
      <c r="AI4" s="6">
        <v>0.736725376242735</v>
      </c>
      <c r="AJ4" s="6">
        <v>91.40106559944</v>
      </c>
      <c r="AK4" s="6">
        <v>60.649173206</v>
      </c>
      <c r="AL4" s="6">
        <v>142.79921</v>
      </c>
      <c r="AM4" s="6">
        <v>99.4324</v>
      </c>
      <c r="AN4" s="6">
        <v>5.785918534915</v>
      </c>
      <c r="AO4" s="6">
        <v>6.808461174</v>
      </c>
      <c r="AP4" s="6">
        <v>0</v>
      </c>
      <c r="AQ4" s="6">
        <v>0</v>
      </c>
      <c r="AR4" s="6">
        <v>0.3419</v>
      </c>
      <c r="AS4" s="6">
        <v>0.0054</v>
      </c>
      <c r="AT4" s="6">
        <v>0</v>
      </c>
      <c r="AU4" s="6">
        <v>0.1419</v>
      </c>
      <c r="AV4" s="6">
        <v>0</v>
      </c>
      <c r="AW4" s="6">
        <v>0</v>
      </c>
      <c r="AX4" s="6">
        <v>0.473</v>
      </c>
      <c r="AY4" s="6">
        <v>0</v>
      </c>
      <c r="AZ4" s="6">
        <v>0</v>
      </c>
      <c r="BA4" s="6">
        <v>0.0378</v>
      </c>
      <c r="BB4" s="6">
        <v>0</v>
      </c>
      <c r="BC4" s="6">
        <v>0</v>
      </c>
      <c r="BD4" s="6">
        <v>0</v>
      </c>
      <c r="BE4" s="6">
        <v>0</v>
      </c>
      <c r="BF4" s="6">
        <v>0.2838</v>
      </c>
      <c r="BG4" s="6">
        <v>0</v>
      </c>
      <c r="BH4" s="6">
        <v>0</v>
      </c>
      <c r="BI4" s="6">
        <v>0</v>
      </c>
      <c r="BJ4" s="6">
        <v>0.7162</v>
      </c>
      <c r="BK4" s="6">
        <v>0</v>
      </c>
      <c r="BL4" s="6">
        <v>0</v>
      </c>
      <c r="BM4" s="6">
        <v>0</v>
      </c>
      <c r="BN4" s="6">
        <v>0</v>
      </c>
    </row>
    <row r="5" ht="34.2" customHeight="1" spans="1:66">
      <c r="A5" s="7">
        <v>64</v>
      </c>
      <c r="B5" s="7">
        <v>4</v>
      </c>
      <c r="C5" s="3" t="s">
        <v>70</v>
      </c>
      <c r="D5" s="6">
        <v>0.056</v>
      </c>
      <c r="E5" s="6">
        <v>2.197</v>
      </c>
      <c r="F5" s="6">
        <v>150</v>
      </c>
      <c r="G5" s="6">
        <f t="shared" si="0"/>
        <v>0.0146466666666667</v>
      </c>
      <c r="H5" s="6">
        <v>75.2</v>
      </c>
      <c r="I5" s="3" t="s">
        <v>67</v>
      </c>
      <c r="J5" s="3"/>
      <c r="K5" s="6">
        <v>1</v>
      </c>
      <c r="L5" s="6">
        <v>1</v>
      </c>
      <c r="M5" s="6">
        <v>1.351928</v>
      </c>
      <c r="N5" s="6">
        <v>0.614912</v>
      </c>
      <c r="O5" s="6">
        <v>2.19857150291424</v>
      </c>
      <c r="P5" s="6">
        <v>0.737016</v>
      </c>
      <c r="Q5" s="6">
        <v>0.965752822027529</v>
      </c>
      <c r="R5" s="6">
        <v>0.439222857142857</v>
      </c>
      <c r="S5" s="6">
        <v>0.024045962816</v>
      </c>
      <c r="T5" s="6">
        <v>0.000248672256</v>
      </c>
      <c r="U5" s="6">
        <v>0.114701084113042</v>
      </c>
      <c r="V5" s="6">
        <v>0.0256448816293893</v>
      </c>
      <c r="W5" s="6">
        <v>9.59559093108036</v>
      </c>
      <c r="X5" s="6">
        <v>4.95500612975213</v>
      </c>
      <c r="Y5" s="6">
        <v>14.5505970608325</v>
      </c>
      <c r="Z5" s="6">
        <v>1.246952</v>
      </c>
      <c r="AA5" s="6">
        <v>1.556992</v>
      </c>
      <c r="AB5" s="6">
        <v>2.193048</v>
      </c>
      <c r="AC5" s="6">
        <v>1.883008</v>
      </c>
      <c r="AD5" s="6">
        <v>0.31004</v>
      </c>
      <c r="AE5" s="6">
        <v>1.728</v>
      </c>
      <c r="AF5" s="6">
        <v>4.2832</v>
      </c>
      <c r="AG5" s="6">
        <v>0.938731058397452</v>
      </c>
      <c r="AH5" s="6">
        <v>0.45055272721403</v>
      </c>
      <c r="AI5" s="6">
        <v>0.736279077524277</v>
      </c>
      <c r="AJ5" s="6">
        <v>91.43433582016</v>
      </c>
      <c r="AK5" s="6">
        <v>60.622149584</v>
      </c>
      <c r="AL5" s="6">
        <v>142.84344</v>
      </c>
      <c r="AM5" s="6">
        <v>99.4336</v>
      </c>
      <c r="AN5" s="6">
        <v>5.78648704956</v>
      </c>
      <c r="AO5" s="6">
        <v>6.808502736</v>
      </c>
      <c r="AP5" s="6">
        <v>0</v>
      </c>
      <c r="AQ5" s="6">
        <v>0</v>
      </c>
      <c r="AR5" s="6">
        <v>0.3416</v>
      </c>
      <c r="AS5" s="6">
        <v>0.0056</v>
      </c>
      <c r="AT5" s="6">
        <v>0</v>
      </c>
      <c r="AU5" s="6">
        <v>0.1416</v>
      </c>
      <c r="AV5" s="6">
        <v>0</v>
      </c>
      <c r="AW5" s="6">
        <v>0</v>
      </c>
      <c r="AX5" s="6">
        <v>0.472</v>
      </c>
      <c r="AY5" s="6">
        <v>0</v>
      </c>
      <c r="AZ5" s="6">
        <v>0</v>
      </c>
      <c r="BA5" s="6">
        <v>0.0392</v>
      </c>
      <c r="BB5" s="6">
        <v>0</v>
      </c>
      <c r="BC5" s="6">
        <v>0</v>
      </c>
      <c r="BD5" s="6">
        <v>0</v>
      </c>
      <c r="BE5" s="6">
        <v>0</v>
      </c>
      <c r="BF5" s="6">
        <v>0.2832</v>
      </c>
      <c r="BG5" s="6">
        <v>0</v>
      </c>
      <c r="BH5" s="6">
        <v>0</v>
      </c>
      <c r="BI5" s="6">
        <v>0</v>
      </c>
      <c r="BJ5" s="6">
        <v>0.7168</v>
      </c>
      <c r="BK5" s="6">
        <v>0</v>
      </c>
      <c r="BL5" s="6">
        <v>0</v>
      </c>
      <c r="BM5" s="6">
        <v>0</v>
      </c>
      <c r="BN5" s="6">
        <v>0</v>
      </c>
    </row>
    <row r="6" ht="34.2" customHeight="1" spans="1:66">
      <c r="A6" s="7">
        <v>65</v>
      </c>
      <c r="B6" s="7">
        <v>5</v>
      </c>
      <c r="C6" s="3" t="s">
        <v>71</v>
      </c>
      <c r="D6" s="6">
        <v>0.058</v>
      </c>
      <c r="E6" s="6">
        <v>2.201</v>
      </c>
      <c r="F6" s="6">
        <v>153</v>
      </c>
      <c r="G6" s="6">
        <f t="shared" si="0"/>
        <v>0.0143856209150327</v>
      </c>
      <c r="H6" s="6">
        <v>75.6</v>
      </c>
      <c r="I6" s="3" t="s">
        <v>67</v>
      </c>
      <c r="J6" s="3"/>
      <c r="K6" s="6">
        <v>1</v>
      </c>
      <c r="L6" s="6">
        <v>1</v>
      </c>
      <c r="M6" s="6">
        <v>1.351979</v>
      </c>
      <c r="N6" s="6">
        <v>0.614891</v>
      </c>
      <c r="O6" s="6">
        <v>2.19872953092499</v>
      </c>
      <c r="P6" s="6">
        <v>0.737088</v>
      </c>
      <c r="Q6" s="6">
        <v>0.965780785453393</v>
      </c>
      <c r="R6" s="6">
        <v>0.439207857142857</v>
      </c>
      <c r="S6" s="6">
        <v>0.024020573559</v>
      </c>
      <c r="T6" s="6">
        <v>0.000248353119</v>
      </c>
      <c r="U6" s="6">
        <v>0.114636189245772</v>
      </c>
      <c r="V6" s="6">
        <v>0.0256292957603686</v>
      </c>
      <c r="W6" s="6">
        <v>9.62787204097493</v>
      </c>
      <c r="X6" s="6">
        <v>4.95036605108814</v>
      </c>
      <c r="Y6" s="6">
        <v>14.5782380920631</v>
      </c>
      <c r="Z6" s="6">
        <v>1.246736</v>
      </c>
      <c r="AA6" s="6">
        <v>1.556956</v>
      </c>
      <c r="AB6" s="6">
        <v>2.193264</v>
      </c>
      <c r="AC6" s="6">
        <v>1.883044</v>
      </c>
      <c r="AD6" s="6">
        <v>0.31022</v>
      </c>
      <c r="AE6" s="6">
        <v>1.729</v>
      </c>
      <c r="AF6" s="6">
        <v>4.2826</v>
      </c>
      <c r="AG6" s="6">
        <v>0.93816789542171</v>
      </c>
      <c r="AH6" s="6">
        <v>0.450263522839681</v>
      </c>
      <c r="AI6" s="6">
        <v>0.735831583991881</v>
      </c>
      <c r="AJ6" s="6">
        <v>91.46760604088</v>
      </c>
      <c r="AK6" s="6">
        <v>60.595125962</v>
      </c>
      <c r="AL6" s="6">
        <v>142.88767</v>
      </c>
      <c r="AM6" s="6">
        <v>99.4348</v>
      </c>
      <c r="AN6" s="6">
        <v>5.787055564205</v>
      </c>
      <c r="AO6" s="6">
        <v>6.808544298</v>
      </c>
      <c r="AP6" s="6">
        <v>0</v>
      </c>
      <c r="AQ6" s="6">
        <v>0</v>
      </c>
      <c r="AR6" s="6">
        <v>0.3413</v>
      </c>
      <c r="AS6" s="6">
        <v>0.0058</v>
      </c>
      <c r="AT6" s="6">
        <v>0</v>
      </c>
      <c r="AU6" s="6">
        <v>0.1413</v>
      </c>
      <c r="AV6" s="6">
        <v>0</v>
      </c>
      <c r="AW6" s="6">
        <v>0</v>
      </c>
      <c r="AX6" s="6">
        <v>0.471</v>
      </c>
      <c r="AY6" s="6">
        <v>0</v>
      </c>
      <c r="AZ6" s="6">
        <v>0</v>
      </c>
      <c r="BA6" s="6">
        <v>0.0406</v>
      </c>
      <c r="BB6" s="6">
        <v>0</v>
      </c>
      <c r="BC6" s="6">
        <v>0</v>
      </c>
      <c r="BD6" s="6">
        <v>0</v>
      </c>
      <c r="BE6" s="6">
        <v>0</v>
      </c>
      <c r="BF6" s="6">
        <v>0.2826</v>
      </c>
      <c r="BG6" s="6">
        <v>0</v>
      </c>
      <c r="BH6" s="6">
        <v>0</v>
      </c>
      <c r="BI6" s="6">
        <v>0</v>
      </c>
      <c r="BJ6" s="6">
        <v>0.7174</v>
      </c>
      <c r="BK6" s="6">
        <v>0</v>
      </c>
      <c r="BL6" s="6">
        <v>0</v>
      </c>
      <c r="BM6" s="6">
        <v>0</v>
      </c>
      <c r="BN6" s="6">
        <v>0</v>
      </c>
    </row>
    <row r="7" ht="34.2" customHeight="1" spans="1:66">
      <c r="A7" s="7">
        <v>66</v>
      </c>
      <c r="B7" s="7">
        <v>6</v>
      </c>
      <c r="C7" s="3" t="s">
        <v>72</v>
      </c>
      <c r="D7" s="6">
        <v>0.06</v>
      </c>
      <c r="E7" s="6">
        <v>2.413</v>
      </c>
      <c r="F7" s="6">
        <v>156</v>
      </c>
      <c r="G7" s="6">
        <f t="shared" si="0"/>
        <v>0.0154679487179487</v>
      </c>
      <c r="H7" s="6">
        <v>74.8</v>
      </c>
      <c r="I7" s="3" t="s">
        <v>67</v>
      </c>
      <c r="J7" s="3"/>
      <c r="K7" s="6">
        <v>1</v>
      </c>
      <c r="L7" s="6">
        <v>1</v>
      </c>
      <c r="M7" s="6">
        <v>1.35203</v>
      </c>
      <c r="N7" s="6">
        <v>0.61487</v>
      </c>
      <c r="O7" s="6">
        <v>2.19888756973019</v>
      </c>
      <c r="P7" s="6">
        <v>0.73716</v>
      </c>
      <c r="Q7" s="6">
        <v>0.965808749462156</v>
      </c>
      <c r="R7" s="6">
        <v>0.439192857142857</v>
      </c>
      <c r="S7" s="6">
        <v>0.0239951791</v>
      </c>
      <c r="T7" s="6">
        <v>0.0002480331</v>
      </c>
      <c r="U7" s="6">
        <v>0.114571254838293</v>
      </c>
      <c r="V7" s="6">
        <v>0.0256136527054674</v>
      </c>
      <c r="W7" s="6">
        <v>9.65966918980025</v>
      </c>
      <c r="X7" s="6">
        <v>4.94571120844564</v>
      </c>
      <c r="Y7" s="6">
        <v>14.6053803982459</v>
      </c>
      <c r="Z7" s="6">
        <v>1.24652</v>
      </c>
      <c r="AA7" s="6">
        <v>1.55692</v>
      </c>
      <c r="AB7" s="6">
        <v>2.19348</v>
      </c>
      <c r="AC7" s="6">
        <v>1.88308</v>
      </c>
      <c r="AD7" s="6">
        <v>0.3104</v>
      </c>
      <c r="AE7" s="6">
        <v>1.73</v>
      </c>
      <c r="AF7" s="6">
        <v>4.282</v>
      </c>
      <c r="AG7" s="6">
        <v>0.937603327639146</v>
      </c>
      <c r="AH7" s="6">
        <v>0.449973332543163</v>
      </c>
      <c r="AI7" s="6">
        <v>0.73538289346435</v>
      </c>
      <c r="AJ7" s="6">
        <v>91.5008762616</v>
      </c>
      <c r="AK7" s="6">
        <v>60.56810234</v>
      </c>
      <c r="AL7" s="6">
        <v>142.9319</v>
      </c>
      <c r="AM7" s="6">
        <v>99.436</v>
      </c>
      <c r="AN7" s="6">
        <v>5.78762407885</v>
      </c>
      <c r="AO7" s="6">
        <v>6.80858586</v>
      </c>
      <c r="AP7" s="6">
        <v>0</v>
      </c>
      <c r="AQ7" s="6">
        <v>0</v>
      </c>
      <c r="AR7" s="6">
        <v>0.341</v>
      </c>
      <c r="AS7" s="6">
        <v>0.006</v>
      </c>
      <c r="AT7" s="6">
        <v>0</v>
      </c>
      <c r="AU7" s="6">
        <v>0.141</v>
      </c>
      <c r="AV7" s="6">
        <v>0</v>
      </c>
      <c r="AW7" s="6">
        <v>0</v>
      </c>
      <c r="AX7" s="6">
        <v>0.47</v>
      </c>
      <c r="AY7" s="6">
        <v>0</v>
      </c>
      <c r="AZ7" s="6">
        <v>0</v>
      </c>
      <c r="BA7" s="6">
        <v>0.042</v>
      </c>
      <c r="BB7" s="6">
        <v>0</v>
      </c>
      <c r="BC7" s="6">
        <v>0</v>
      </c>
      <c r="BD7" s="6">
        <v>0</v>
      </c>
      <c r="BE7" s="6">
        <v>0</v>
      </c>
      <c r="BF7" s="6">
        <v>0.282</v>
      </c>
      <c r="BG7" s="6">
        <v>0</v>
      </c>
      <c r="BH7" s="6">
        <v>0</v>
      </c>
      <c r="BI7" s="6">
        <v>0</v>
      </c>
      <c r="BJ7" s="6">
        <v>0.718</v>
      </c>
      <c r="BK7" s="6">
        <v>0</v>
      </c>
      <c r="BL7" s="6">
        <v>0</v>
      </c>
      <c r="BM7" s="6">
        <v>0</v>
      </c>
      <c r="BN7" s="6">
        <v>0</v>
      </c>
    </row>
    <row r="8" ht="34.2" customHeight="1" spans="1:66">
      <c r="A8" s="7">
        <v>67</v>
      </c>
      <c r="B8" s="7">
        <v>7</v>
      </c>
      <c r="C8" s="3" t="s">
        <v>73</v>
      </c>
      <c r="D8" s="6">
        <v>0.062</v>
      </c>
      <c r="E8" s="6">
        <v>2.308</v>
      </c>
      <c r="F8" s="6">
        <v>159</v>
      </c>
      <c r="G8" s="6">
        <f t="shared" si="0"/>
        <v>0.0145157232704403</v>
      </c>
      <c r="H8" s="6">
        <v>76.3</v>
      </c>
      <c r="I8" s="3" t="s">
        <v>67</v>
      </c>
      <c r="J8" s="3"/>
      <c r="K8" s="6">
        <v>1</v>
      </c>
      <c r="L8" s="6">
        <v>1</v>
      </c>
      <c r="M8" s="6">
        <v>1.352081</v>
      </c>
      <c r="N8" s="6">
        <v>0.614849</v>
      </c>
      <c r="O8" s="6">
        <v>2.19904561933093</v>
      </c>
      <c r="P8" s="6">
        <v>0.737232</v>
      </c>
      <c r="Q8" s="6">
        <v>0.965836714053835</v>
      </c>
      <c r="R8" s="6">
        <v>0.439177857142857</v>
      </c>
      <c r="S8" s="6">
        <v>0.023969779439</v>
      </c>
      <c r="T8" s="6">
        <v>0.000247712199</v>
      </c>
      <c r="U8" s="6">
        <v>0.114506280824521</v>
      </c>
      <c r="V8" s="6">
        <v>0.0255979523501732</v>
      </c>
      <c r="W8" s="6">
        <v>9.69099762656422</v>
      </c>
      <c r="X8" s="6">
        <v>4.94104158277571</v>
      </c>
      <c r="Y8" s="6">
        <v>14.6320392093399</v>
      </c>
      <c r="Z8" s="6">
        <v>1.246304</v>
      </c>
      <c r="AA8" s="6">
        <v>1.556884</v>
      </c>
      <c r="AB8" s="6">
        <v>2.193696</v>
      </c>
      <c r="AC8" s="6">
        <v>1.883116</v>
      </c>
      <c r="AD8" s="6">
        <v>0.31058</v>
      </c>
      <c r="AE8" s="6">
        <v>1.731</v>
      </c>
      <c r="AF8" s="6">
        <v>4.2814</v>
      </c>
      <c r="AG8" s="6">
        <v>0.93703735251056</v>
      </c>
      <c r="AH8" s="6">
        <v>0.449682154415761</v>
      </c>
      <c r="AI8" s="6">
        <v>0.734933003749321</v>
      </c>
      <c r="AJ8" s="6">
        <v>91.53414648232</v>
      </c>
      <c r="AK8" s="6">
        <v>60.541078718</v>
      </c>
      <c r="AL8" s="6">
        <v>142.97613</v>
      </c>
      <c r="AM8" s="6">
        <v>99.4372</v>
      </c>
      <c r="AN8" s="6">
        <v>5.788192593495</v>
      </c>
      <c r="AO8" s="6">
        <v>6.808627422</v>
      </c>
      <c r="AP8" s="6">
        <v>0</v>
      </c>
      <c r="AQ8" s="6">
        <v>0</v>
      </c>
      <c r="AR8" s="6">
        <v>0.3407</v>
      </c>
      <c r="AS8" s="6">
        <v>0.0062</v>
      </c>
      <c r="AT8" s="6">
        <v>0</v>
      </c>
      <c r="AU8" s="6">
        <v>0.1407</v>
      </c>
      <c r="AV8" s="6">
        <v>0</v>
      </c>
      <c r="AW8" s="6">
        <v>0</v>
      </c>
      <c r="AX8" s="6">
        <v>0.469</v>
      </c>
      <c r="AY8" s="6">
        <v>0</v>
      </c>
      <c r="AZ8" s="6">
        <v>0</v>
      </c>
      <c r="BA8" s="6">
        <v>0.0434</v>
      </c>
      <c r="BB8" s="6">
        <v>0</v>
      </c>
      <c r="BC8" s="6">
        <v>0</v>
      </c>
      <c r="BD8" s="6">
        <v>0</v>
      </c>
      <c r="BE8" s="6">
        <v>0</v>
      </c>
      <c r="BF8" s="6">
        <v>0.2814</v>
      </c>
      <c r="BG8" s="6">
        <v>0</v>
      </c>
      <c r="BH8" s="6">
        <v>0</v>
      </c>
      <c r="BI8" s="6">
        <v>0</v>
      </c>
      <c r="BJ8" s="6">
        <v>0.7186</v>
      </c>
      <c r="BK8" s="6">
        <v>0</v>
      </c>
      <c r="BL8" s="6">
        <v>0</v>
      </c>
      <c r="BM8" s="6">
        <v>0</v>
      </c>
      <c r="BN8" s="6">
        <v>0</v>
      </c>
    </row>
    <row r="9" ht="34.2" customHeight="1" spans="1:66">
      <c r="A9" s="7">
        <v>68</v>
      </c>
      <c r="B9" s="7">
        <v>8</v>
      </c>
      <c r="C9" s="3" t="s">
        <v>74</v>
      </c>
      <c r="D9" s="6">
        <v>0.064</v>
      </c>
      <c r="E9" s="6">
        <v>2.408</v>
      </c>
      <c r="F9" s="6">
        <v>162</v>
      </c>
      <c r="G9" s="6">
        <f t="shared" si="0"/>
        <v>0.0148641975308642</v>
      </c>
      <c r="H9" s="6">
        <v>75.2</v>
      </c>
      <c r="I9" s="3" t="s">
        <v>67</v>
      </c>
      <c r="J9" s="3"/>
      <c r="K9" s="6">
        <v>1</v>
      </c>
      <c r="L9" s="6">
        <v>1</v>
      </c>
      <c r="M9" s="6">
        <v>1.352132</v>
      </c>
      <c r="N9" s="6">
        <v>0.614828</v>
      </c>
      <c r="O9" s="6">
        <v>2.19920367972831</v>
      </c>
      <c r="P9" s="6">
        <v>0.737304</v>
      </c>
      <c r="Q9" s="6">
        <v>0.965864679228448</v>
      </c>
      <c r="R9" s="6">
        <v>0.439162857142857</v>
      </c>
      <c r="S9" s="6">
        <v>0.023944374576</v>
      </c>
      <c r="T9" s="6">
        <v>0.000247390416</v>
      </c>
      <c r="U9" s="6">
        <v>0.114441267138184</v>
      </c>
      <c r="V9" s="6">
        <v>0.0255821945793063</v>
      </c>
      <c r="W9" s="6">
        <v>9.72187161245003</v>
      </c>
      <c r="X9" s="6">
        <v>4.93635715492751</v>
      </c>
      <c r="Y9" s="6">
        <v>14.6582287673775</v>
      </c>
      <c r="Z9" s="6">
        <v>1.246088</v>
      </c>
      <c r="AA9" s="6">
        <v>1.556848</v>
      </c>
      <c r="AB9" s="6">
        <v>2.193912</v>
      </c>
      <c r="AC9" s="6">
        <v>1.883152</v>
      </c>
      <c r="AD9" s="6">
        <v>0.31076</v>
      </c>
      <c r="AE9" s="6">
        <v>1.732</v>
      </c>
      <c r="AF9" s="6">
        <v>4.2808</v>
      </c>
      <c r="AG9" s="6">
        <v>0.936469967484275</v>
      </c>
      <c r="AH9" s="6">
        <v>0.449389986537306</v>
      </c>
      <c r="AI9" s="6">
        <v>0.734481912643191</v>
      </c>
      <c r="AJ9" s="6">
        <v>91.56741670304</v>
      </c>
      <c r="AK9" s="6">
        <v>60.514055096</v>
      </c>
      <c r="AL9" s="6">
        <v>143.02036</v>
      </c>
      <c r="AM9" s="6">
        <v>99.4384</v>
      </c>
      <c r="AN9" s="6">
        <v>5.78876110814</v>
      </c>
      <c r="AO9" s="6">
        <v>6.808668984</v>
      </c>
      <c r="AP9" s="6">
        <v>0</v>
      </c>
      <c r="AQ9" s="6">
        <v>0</v>
      </c>
      <c r="AR9" s="6">
        <v>0.3404</v>
      </c>
      <c r="AS9" s="6">
        <v>0.0064</v>
      </c>
      <c r="AT9" s="6">
        <v>0</v>
      </c>
      <c r="AU9" s="6">
        <v>0.1404</v>
      </c>
      <c r="AV9" s="6">
        <v>0</v>
      </c>
      <c r="AW9" s="6">
        <v>0</v>
      </c>
      <c r="AX9" s="6">
        <v>0.468</v>
      </c>
      <c r="AY9" s="6">
        <v>0</v>
      </c>
      <c r="AZ9" s="6">
        <v>0</v>
      </c>
      <c r="BA9" s="6">
        <v>0.0448</v>
      </c>
      <c r="BB9" s="6">
        <v>0</v>
      </c>
      <c r="BC9" s="6">
        <v>0</v>
      </c>
      <c r="BD9" s="6">
        <v>0</v>
      </c>
      <c r="BE9" s="6">
        <v>0</v>
      </c>
      <c r="BF9" s="6">
        <v>0.2808</v>
      </c>
      <c r="BG9" s="6">
        <v>0</v>
      </c>
      <c r="BH9" s="6">
        <v>0</v>
      </c>
      <c r="BI9" s="6">
        <v>0</v>
      </c>
      <c r="BJ9" s="6">
        <v>0.7192</v>
      </c>
      <c r="BK9" s="6">
        <v>0</v>
      </c>
      <c r="BL9" s="6">
        <v>0</v>
      </c>
      <c r="BM9" s="6">
        <v>0</v>
      </c>
      <c r="BN9" s="6">
        <v>0</v>
      </c>
    </row>
    <row r="10" ht="34.2" customHeight="1" spans="1:66">
      <c r="A10" s="7">
        <v>69</v>
      </c>
      <c r="B10" s="7">
        <v>9</v>
      </c>
      <c r="C10" s="3" t="s">
        <v>75</v>
      </c>
      <c r="D10" s="6">
        <v>0.066</v>
      </c>
      <c r="E10" s="6">
        <v>2.494</v>
      </c>
      <c r="F10" s="6">
        <v>165</v>
      </c>
      <c r="G10" s="6">
        <f t="shared" si="0"/>
        <v>0.0151151515151515</v>
      </c>
      <c r="H10" s="6">
        <v>75.4</v>
      </c>
      <c r="I10" s="3" t="s">
        <v>67</v>
      </c>
      <c r="J10" s="3"/>
      <c r="K10" s="6">
        <v>1</v>
      </c>
      <c r="L10" s="6">
        <v>1</v>
      </c>
      <c r="M10" s="6">
        <v>1.352183</v>
      </c>
      <c r="N10" s="6">
        <v>0.614807</v>
      </c>
      <c r="O10" s="6">
        <v>2.19936175092346</v>
      </c>
      <c r="P10" s="6">
        <v>0.737376</v>
      </c>
      <c r="Q10" s="6">
        <v>0.965892644986014</v>
      </c>
      <c r="R10" s="6">
        <v>0.439147857142857</v>
      </c>
      <c r="S10" s="6">
        <v>0.023918964511</v>
      </c>
      <c r="T10" s="6">
        <v>0.000247067751</v>
      </c>
      <c r="U10" s="6">
        <v>0.114376213712815</v>
      </c>
      <c r="V10" s="6">
        <v>0.0255663792770146</v>
      </c>
      <c r="W10" s="6">
        <v>9.75230451346694</v>
      </c>
      <c r="X10" s="6">
        <v>4.93165790564766</v>
      </c>
      <c r="Y10" s="6">
        <v>14.6839624191146</v>
      </c>
      <c r="Z10" s="6">
        <v>1.245872</v>
      </c>
      <c r="AA10" s="6">
        <v>1.556812</v>
      </c>
      <c r="AB10" s="6">
        <v>2.194128</v>
      </c>
      <c r="AC10" s="6">
        <v>1.883188</v>
      </c>
      <c r="AD10" s="6">
        <v>0.31094</v>
      </c>
      <c r="AE10" s="6">
        <v>1.733</v>
      </c>
      <c r="AF10" s="6">
        <v>4.2802</v>
      </c>
      <c r="AG10" s="6">
        <v>0.935901169996063</v>
      </c>
      <c r="AH10" s="6">
        <v>0.449096826976099</v>
      </c>
      <c r="AI10" s="6">
        <v>0.734029617931048</v>
      </c>
      <c r="AJ10" s="6">
        <v>91.60068692376</v>
      </c>
      <c r="AK10" s="6">
        <v>60.487031474</v>
      </c>
      <c r="AL10" s="6">
        <v>143.06459</v>
      </c>
      <c r="AM10" s="6">
        <v>99.4396</v>
      </c>
      <c r="AN10" s="6">
        <v>5.789329622785</v>
      </c>
      <c r="AO10" s="6">
        <v>6.808710546</v>
      </c>
      <c r="AP10" s="6">
        <v>0</v>
      </c>
      <c r="AQ10" s="6">
        <v>0</v>
      </c>
      <c r="AR10" s="6">
        <v>0.3401</v>
      </c>
      <c r="AS10" s="6">
        <v>0.0066</v>
      </c>
      <c r="AT10" s="6">
        <v>0</v>
      </c>
      <c r="AU10" s="6">
        <v>0.1401</v>
      </c>
      <c r="AV10" s="6">
        <v>0</v>
      </c>
      <c r="AW10" s="6">
        <v>0</v>
      </c>
      <c r="AX10" s="6">
        <v>0.467</v>
      </c>
      <c r="AY10" s="6">
        <v>0</v>
      </c>
      <c r="AZ10" s="6">
        <v>0</v>
      </c>
      <c r="BA10" s="6">
        <v>0.0462</v>
      </c>
      <c r="BB10" s="6">
        <v>0</v>
      </c>
      <c r="BC10" s="6">
        <v>0</v>
      </c>
      <c r="BD10" s="6">
        <v>0</v>
      </c>
      <c r="BE10" s="6">
        <v>0</v>
      </c>
      <c r="BF10" s="6">
        <v>0.2802</v>
      </c>
      <c r="BG10" s="6">
        <v>0</v>
      </c>
      <c r="BH10" s="6">
        <v>0</v>
      </c>
      <c r="BI10" s="6">
        <v>0</v>
      </c>
      <c r="BJ10" s="6">
        <v>0.7198</v>
      </c>
      <c r="BK10" s="6">
        <v>0</v>
      </c>
      <c r="BL10" s="6">
        <v>0</v>
      </c>
      <c r="BM10" s="6">
        <v>0</v>
      </c>
      <c r="BN10" s="6">
        <v>0</v>
      </c>
    </row>
    <row r="11" ht="34.2" customHeight="1" spans="1:66">
      <c r="A11" s="7">
        <v>70</v>
      </c>
      <c r="B11" s="7">
        <v>10</v>
      </c>
      <c r="C11" s="3" t="s">
        <v>76</v>
      </c>
      <c r="D11" s="6">
        <v>0.068</v>
      </c>
      <c r="E11" s="6">
        <v>2.393</v>
      </c>
      <c r="F11" s="6">
        <v>167</v>
      </c>
      <c r="G11" s="6">
        <f t="shared" si="0"/>
        <v>0.0143293413173653</v>
      </c>
      <c r="H11" s="6">
        <v>75.86</v>
      </c>
      <c r="I11" s="3" t="s">
        <v>67</v>
      </c>
      <c r="J11" s="3"/>
      <c r="K11" s="6">
        <v>1</v>
      </c>
      <c r="L11" s="6">
        <v>1</v>
      </c>
      <c r="M11" s="6">
        <v>1.352234</v>
      </c>
      <c r="N11" s="6">
        <v>0.614786</v>
      </c>
      <c r="O11" s="6">
        <v>2.19951983291747</v>
      </c>
      <c r="P11" s="6">
        <v>0.737448</v>
      </c>
      <c r="Q11" s="6">
        <v>0.965920611326551</v>
      </c>
      <c r="R11" s="6">
        <v>0.439132857142857</v>
      </c>
      <c r="S11" s="6">
        <v>0.023893549244</v>
      </c>
      <c r="T11" s="6">
        <v>0.000246744204</v>
      </c>
      <c r="U11" s="6">
        <v>0.114311120481754</v>
      </c>
      <c r="V11" s="6">
        <v>0.025550506326769</v>
      </c>
      <c r="W11" s="6">
        <v>9.7823088818613</v>
      </c>
      <c r="X11" s="6">
        <v>4.92694381557966</v>
      </c>
      <c r="Y11" s="6">
        <v>14.709252697441</v>
      </c>
      <c r="Z11" s="6">
        <v>1.245656</v>
      </c>
      <c r="AA11" s="6">
        <v>1.556776</v>
      </c>
      <c r="AB11" s="6">
        <v>2.194344</v>
      </c>
      <c r="AC11" s="6">
        <v>1.883224</v>
      </c>
      <c r="AD11" s="6">
        <v>0.31112</v>
      </c>
      <c r="AE11" s="6">
        <v>1.734</v>
      </c>
      <c r="AF11" s="6">
        <v>4.2796</v>
      </c>
      <c r="AG11" s="6">
        <v>0.935330957469066</v>
      </c>
      <c r="AH11" s="6">
        <v>0.448802673788827</v>
      </c>
      <c r="AI11" s="6">
        <v>0.733576117386601</v>
      </c>
      <c r="AJ11" s="6">
        <v>91.63395714448</v>
      </c>
      <c r="AK11" s="6">
        <v>60.460007852</v>
      </c>
      <c r="AL11" s="6">
        <v>143.10882</v>
      </c>
      <c r="AM11" s="6">
        <v>99.4408</v>
      </c>
      <c r="AN11" s="6">
        <v>5.78989813743</v>
      </c>
      <c r="AO11" s="6">
        <v>6.808752108</v>
      </c>
      <c r="AP11" s="6">
        <v>0</v>
      </c>
      <c r="AQ11" s="6">
        <v>0</v>
      </c>
      <c r="AR11" s="6">
        <v>0.3398</v>
      </c>
      <c r="AS11" s="6">
        <v>0.0068</v>
      </c>
      <c r="AT11" s="6">
        <v>0</v>
      </c>
      <c r="AU11" s="6">
        <v>0.1398</v>
      </c>
      <c r="AV11" s="6">
        <v>0</v>
      </c>
      <c r="AW11" s="6">
        <v>0</v>
      </c>
      <c r="AX11" s="6">
        <v>0.466</v>
      </c>
      <c r="AY11" s="6">
        <v>0</v>
      </c>
      <c r="AZ11" s="6">
        <v>0</v>
      </c>
      <c r="BA11" s="6">
        <v>0.0476</v>
      </c>
      <c r="BB11" s="6">
        <v>0</v>
      </c>
      <c r="BC11" s="6">
        <v>0</v>
      </c>
      <c r="BD11" s="6">
        <v>0</v>
      </c>
      <c r="BE11" s="6">
        <v>0</v>
      </c>
      <c r="BF11" s="6">
        <v>0.2796</v>
      </c>
      <c r="BG11" s="6">
        <v>0</v>
      </c>
      <c r="BH11" s="6">
        <v>0</v>
      </c>
      <c r="BI11" s="6">
        <v>0</v>
      </c>
      <c r="BJ11" s="6">
        <v>0.7204</v>
      </c>
      <c r="BK11" s="6">
        <v>0</v>
      </c>
      <c r="BL11" s="6">
        <v>0</v>
      </c>
      <c r="BM11" s="6">
        <v>0</v>
      </c>
      <c r="BN11" s="6">
        <v>0</v>
      </c>
    </row>
    <row r="12" ht="34.2" customHeight="1" spans="1:66">
      <c r="A12" s="7">
        <v>71</v>
      </c>
      <c r="B12" s="7">
        <v>11</v>
      </c>
      <c r="C12" s="3" t="s">
        <v>77</v>
      </c>
      <c r="D12" s="6">
        <v>0.07</v>
      </c>
      <c r="E12" s="6">
        <v>2.522</v>
      </c>
      <c r="F12" s="6">
        <v>170</v>
      </c>
      <c r="G12" s="6">
        <f t="shared" si="0"/>
        <v>0.0148352941176471</v>
      </c>
      <c r="H12" s="6">
        <v>78</v>
      </c>
      <c r="I12" s="3" t="s">
        <v>67</v>
      </c>
      <c r="J12" s="3"/>
      <c r="K12" s="6">
        <v>1</v>
      </c>
      <c r="L12" s="6">
        <v>1</v>
      </c>
      <c r="M12" s="6">
        <v>1.352285</v>
      </c>
      <c r="N12" s="6">
        <v>0.614765</v>
      </c>
      <c r="O12" s="6">
        <v>2.19967792571145</v>
      </c>
      <c r="P12" s="6">
        <v>0.73752</v>
      </c>
      <c r="Q12" s="6">
        <v>0.965948578250077</v>
      </c>
      <c r="R12" s="6">
        <v>0.439117857142857</v>
      </c>
      <c r="S12" s="6">
        <v>0.023868128775</v>
      </c>
      <c r="T12" s="6">
        <v>0.000246419775</v>
      </c>
      <c r="U12" s="6">
        <v>0.114245987378147</v>
      </c>
      <c r="V12" s="6">
        <v>0.0255345756113587</v>
      </c>
      <c r="W12" s="6">
        <v>9.81189652794228</v>
      </c>
      <c r="X12" s="6">
        <v>4.92221486526327</v>
      </c>
      <c r="Y12" s="6">
        <v>14.7341113932055</v>
      </c>
      <c r="Z12" s="6">
        <v>1.24544</v>
      </c>
      <c r="AA12" s="6">
        <v>1.55674</v>
      </c>
      <c r="AB12" s="6">
        <v>2.19456</v>
      </c>
      <c r="AC12" s="6">
        <v>1.88326</v>
      </c>
      <c r="AD12" s="6">
        <v>0.3113</v>
      </c>
      <c r="AE12" s="6">
        <v>1.735</v>
      </c>
      <c r="AF12" s="6">
        <v>4.279</v>
      </c>
      <c r="AG12" s="6">
        <v>0.934759327313721</v>
      </c>
      <c r="AH12" s="6">
        <v>0.448507525020484</v>
      </c>
      <c r="AI12" s="6">
        <v>0.733121408772108</v>
      </c>
      <c r="AJ12" s="6">
        <v>91.6672273652</v>
      </c>
      <c r="AK12" s="6">
        <v>60.43298423</v>
      </c>
      <c r="AL12" s="6">
        <v>143.15305</v>
      </c>
      <c r="AM12" s="6">
        <v>99.442</v>
      </c>
      <c r="AN12" s="6">
        <v>5.790466652075</v>
      </c>
      <c r="AO12" s="6">
        <v>6.80879367</v>
      </c>
      <c r="AP12" s="6">
        <v>0</v>
      </c>
      <c r="AQ12" s="6">
        <v>0</v>
      </c>
      <c r="AR12" s="6">
        <v>0.3395</v>
      </c>
      <c r="AS12" s="6">
        <v>0.007</v>
      </c>
      <c r="AT12" s="6">
        <v>0</v>
      </c>
      <c r="AU12" s="6">
        <v>0.1395</v>
      </c>
      <c r="AV12" s="6">
        <v>0</v>
      </c>
      <c r="AW12" s="6">
        <v>0</v>
      </c>
      <c r="AX12" s="6">
        <v>0.465</v>
      </c>
      <c r="AY12" s="6">
        <v>0</v>
      </c>
      <c r="AZ12" s="6">
        <v>0</v>
      </c>
      <c r="BA12" s="6">
        <v>0.049</v>
      </c>
      <c r="BB12" s="6">
        <v>0</v>
      </c>
      <c r="BC12" s="6">
        <v>0</v>
      </c>
      <c r="BD12" s="6">
        <v>0</v>
      </c>
      <c r="BE12" s="6">
        <v>0</v>
      </c>
      <c r="BF12" s="6">
        <v>0.279</v>
      </c>
      <c r="BG12" s="6">
        <v>0</v>
      </c>
      <c r="BH12" s="6">
        <v>0</v>
      </c>
      <c r="BI12" s="6">
        <v>0</v>
      </c>
      <c r="BJ12" s="6">
        <v>0.721</v>
      </c>
      <c r="BK12" s="6">
        <v>0</v>
      </c>
      <c r="BL12" s="6">
        <v>0</v>
      </c>
      <c r="BM12" s="6">
        <v>0</v>
      </c>
      <c r="BN12" s="6">
        <v>0</v>
      </c>
    </row>
    <row r="13" ht="34.2" customHeight="1" spans="1:66">
      <c r="A13" s="7">
        <v>72</v>
      </c>
      <c r="B13" s="7">
        <v>12</v>
      </c>
      <c r="C13" s="3" t="s">
        <v>78</v>
      </c>
      <c r="D13" s="6">
        <v>0.072</v>
      </c>
      <c r="E13" s="6">
        <v>2.491</v>
      </c>
      <c r="F13" s="6">
        <v>173</v>
      </c>
      <c r="G13" s="6">
        <f t="shared" si="0"/>
        <v>0.0143988439306358</v>
      </c>
      <c r="H13" s="6">
        <v>76.3</v>
      </c>
      <c r="I13" s="3" t="s">
        <v>67</v>
      </c>
      <c r="J13" s="3"/>
      <c r="K13" s="6">
        <v>1</v>
      </c>
      <c r="L13" s="6">
        <v>1</v>
      </c>
      <c r="M13" s="6">
        <v>1.352336</v>
      </c>
      <c r="N13" s="6">
        <v>0.614744</v>
      </c>
      <c r="O13" s="6">
        <v>2.19983602930651</v>
      </c>
      <c r="P13" s="6">
        <v>0.737592</v>
      </c>
      <c r="Q13" s="6">
        <v>0.965976545756611</v>
      </c>
      <c r="R13" s="6">
        <v>0.439102857142857</v>
      </c>
      <c r="S13" s="6">
        <v>0.023842703104</v>
      </c>
      <c r="T13" s="6">
        <v>0.000246094464</v>
      </c>
      <c r="U13" s="6">
        <v>0.114180814334949</v>
      </c>
      <c r="V13" s="6">
        <v>0.025518587012887</v>
      </c>
      <c r="W13" s="6">
        <v>9.84107858369285</v>
      </c>
      <c r="X13" s="6">
        <v>4.91747103513388</v>
      </c>
      <c r="Y13" s="6">
        <v>14.7585496188267</v>
      </c>
      <c r="Z13" s="6">
        <v>1.245224</v>
      </c>
      <c r="AA13" s="6">
        <v>1.556704</v>
      </c>
      <c r="AB13" s="6">
        <v>2.194776</v>
      </c>
      <c r="AC13" s="6">
        <v>1.883296</v>
      </c>
      <c r="AD13" s="6">
        <v>0.31148</v>
      </c>
      <c r="AE13" s="6">
        <v>1.736</v>
      </c>
      <c r="AF13" s="6">
        <v>4.2784</v>
      </c>
      <c r="AG13" s="6">
        <v>0.93418627692768</v>
      </c>
      <c r="AH13" s="6">
        <v>0.44821137870429</v>
      </c>
      <c r="AI13" s="6">
        <v>0.732665489838303</v>
      </c>
      <c r="AJ13" s="6">
        <v>91.70049758592</v>
      </c>
      <c r="AK13" s="6">
        <v>60.405960608</v>
      </c>
      <c r="AL13" s="6">
        <v>143.19728</v>
      </c>
      <c r="AM13" s="6">
        <v>99.4432</v>
      </c>
      <c r="AN13" s="6">
        <v>5.79103516672</v>
      </c>
      <c r="AO13" s="6">
        <v>6.808835232</v>
      </c>
      <c r="AP13" s="6">
        <v>0</v>
      </c>
      <c r="AQ13" s="6">
        <v>0</v>
      </c>
      <c r="AR13" s="6">
        <v>0.3392</v>
      </c>
      <c r="AS13" s="6">
        <v>0.0072</v>
      </c>
      <c r="AT13" s="6">
        <v>0</v>
      </c>
      <c r="AU13" s="6">
        <v>0.1392</v>
      </c>
      <c r="AV13" s="6">
        <v>0</v>
      </c>
      <c r="AW13" s="6">
        <v>0</v>
      </c>
      <c r="AX13" s="6">
        <v>0.464</v>
      </c>
      <c r="AY13" s="6">
        <v>0</v>
      </c>
      <c r="AZ13" s="6">
        <v>0</v>
      </c>
      <c r="BA13" s="6">
        <v>0.0504</v>
      </c>
      <c r="BB13" s="6">
        <v>0</v>
      </c>
      <c r="BC13" s="6">
        <v>0</v>
      </c>
      <c r="BD13" s="6">
        <v>0</v>
      </c>
      <c r="BE13" s="6">
        <v>0</v>
      </c>
      <c r="BF13" s="6">
        <v>0.2784</v>
      </c>
      <c r="BG13" s="6">
        <v>0</v>
      </c>
      <c r="BH13" s="6">
        <v>0</v>
      </c>
      <c r="BI13" s="6">
        <v>0</v>
      </c>
      <c r="BJ13" s="6">
        <v>0.7216</v>
      </c>
      <c r="BK13" s="6">
        <v>0</v>
      </c>
      <c r="BL13" s="6">
        <v>0</v>
      </c>
      <c r="BM13" s="6">
        <v>0</v>
      </c>
      <c r="BN13" s="6">
        <v>0</v>
      </c>
    </row>
    <row r="14" ht="34.2" customHeight="1" spans="1:66">
      <c r="A14" s="7">
        <v>73</v>
      </c>
      <c r="B14" s="7">
        <v>13</v>
      </c>
      <c r="C14" s="3" t="s">
        <v>79</v>
      </c>
      <c r="D14" s="6">
        <v>0.074</v>
      </c>
      <c r="E14" s="6">
        <v>2.486</v>
      </c>
      <c r="F14" s="6">
        <v>175</v>
      </c>
      <c r="G14" s="6">
        <f t="shared" si="0"/>
        <v>0.0142057142857143</v>
      </c>
      <c r="H14" s="6">
        <v>76.54</v>
      </c>
      <c r="I14" s="3" t="s">
        <v>67</v>
      </c>
      <c r="J14" s="3"/>
      <c r="K14" s="6">
        <v>1</v>
      </c>
      <c r="L14" s="6">
        <v>1</v>
      </c>
      <c r="M14" s="6">
        <v>1.352387</v>
      </c>
      <c r="N14" s="6">
        <v>0.614723</v>
      </c>
      <c r="O14" s="6">
        <v>2.19999414370375</v>
      </c>
      <c r="P14" s="6">
        <v>0.737664</v>
      </c>
      <c r="Q14" s="6">
        <v>0.96600451384617</v>
      </c>
      <c r="R14" s="6">
        <v>0.439087857142857</v>
      </c>
      <c r="S14" s="6">
        <v>0.023817272231</v>
      </c>
      <c r="T14" s="6">
        <v>0.000245768271</v>
      </c>
      <c r="U14" s="6">
        <v>0.114115601284914</v>
      </c>
      <c r="V14" s="6">
        <v>0.0255025404127651</v>
      </c>
      <c r="W14" s="6">
        <v>9.86986555930789</v>
      </c>
      <c r="X14" s="6">
        <v>4.91271230552191</v>
      </c>
      <c r="Y14" s="6">
        <v>14.7825778648298</v>
      </c>
      <c r="Z14" s="6">
        <v>1.245008</v>
      </c>
      <c r="AA14" s="6">
        <v>1.556668</v>
      </c>
      <c r="AB14" s="6">
        <v>2.194992</v>
      </c>
      <c r="AC14" s="6">
        <v>1.883332</v>
      </c>
      <c r="AD14" s="6">
        <v>0.31166</v>
      </c>
      <c r="AE14" s="6">
        <v>1.737</v>
      </c>
      <c r="AF14" s="6">
        <v>4.2778</v>
      </c>
      <c r="AG14" s="6">
        <v>0.933611803695733</v>
      </c>
      <c r="AH14" s="6">
        <v>0.447914232861605</v>
      </c>
      <c r="AI14" s="6">
        <v>0.732208358324323</v>
      </c>
      <c r="AJ14" s="6">
        <v>91.73376780664</v>
      </c>
      <c r="AK14" s="6">
        <v>60.378936986</v>
      </c>
      <c r="AL14" s="6">
        <v>143.24151</v>
      </c>
      <c r="AM14" s="6">
        <v>99.4444</v>
      </c>
      <c r="AN14" s="6">
        <v>5.791603681365</v>
      </c>
      <c r="AO14" s="6">
        <v>6.808876794</v>
      </c>
      <c r="AP14" s="6">
        <v>0</v>
      </c>
      <c r="AQ14" s="6">
        <v>0</v>
      </c>
      <c r="AR14" s="6">
        <v>0.3389</v>
      </c>
      <c r="AS14" s="6">
        <v>0.0074</v>
      </c>
      <c r="AT14" s="6">
        <v>0</v>
      </c>
      <c r="AU14" s="6">
        <v>0.1389</v>
      </c>
      <c r="AV14" s="6">
        <v>0</v>
      </c>
      <c r="AW14" s="6">
        <v>0</v>
      </c>
      <c r="AX14" s="6">
        <v>0.463</v>
      </c>
      <c r="AY14" s="6">
        <v>0</v>
      </c>
      <c r="AZ14" s="6">
        <v>0</v>
      </c>
      <c r="BA14" s="6">
        <v>0.0518</v>
      </c>
      <c r="BB14" s="6">
        <v>0</v>
      </c>
      <c r="BC14" s="6">
        <v>0</v>
      </c>
      <c r="BD14" s="6">
        <v>0</v>
      </c>
      <c r="BE14" s="6">
        <v>0</v>
      </c>
      <c r="BF14" s="6">
        <v>0.2778</v>
      </c>
      <c r="BG14" s="6">
        <v>0</v>
      </c>
      <c r="BH14" s="6">
        <v>0</v>
      </c>
      <c r="BI14" s="6">
        <v>0</v>
      </c>
      <c r="BJ14" s="6">
        <v>0.7222</v>
      </c>
      <c r="BK14" s="6">
        <v>0</v>
      </c>
      <c r="BL14" s="6">
        <v>0</v>
      </c>
      <c r="BM14" s="6">
        <v>0</v>
      </c>
      <c r="BN14" s="6">
        <v>0</v>
      </c>
    </row>
    <row r="15" ht="34.2" customHeight="1" spans="1:66">
      <c r="A15" s="7">
        <v>74</v>
      </c>
      <c r="B15" s="7">
        <v>14</v>
      </c>
      <c r="C15" s="3" t="s">
        <v>80</v>
      </c>
      <c r="D15" s="6">
        <v>0.076</v>
      </c>
      <c r="E15" s="6">
        <v>2.54</v>
      </c>
      <c r="F15" s="6">
        <v>178</v>
      </c>
      <c r="G15" s="6">
        <f t="shared" si="0"/>
        <v>0.0142696629213483</v>
      </c>
      <c r="H15" s="6">
        <v>76.21</v>
      </c>
      <c r="I15" s="3" t="s">
        <v>67</v>
      </c>
      <c r="J15" s="3"/>
      <c r="K15" s="6">
        <v>1</v>
      </c>
      <c r="L15" s="6">
        <v>1</v>
      </c>
      <c r="M15" s="6">
        <v>1.352438</v>
      </c>
      <c r="N15" s="6">
        <v>0.614702</v>
      </c>
      <c r="O15" s="6">
        <v>2.20015226890428</v>
      </c>
      <c r="P15" s="6">
        <v>0.737736</v>
      </c>
      <c r="Q15" s="6">
        <v>0.966032482518774</v>
      </c>
      <c r="R15" s="6">
        <v>0.439072857142857</v>
      </c>
      <c r="S15" s="6">
        <v>0.023791836156</v>
      </c>
      <c r="T15" s="6">
        <v>0.000245441196</v>
      </c>
      <c r="U15" s="6">
        <v>0.114050348160605</v>
      </c>
      <c r="V15" s="6">
        <v>0.0254864356917088</v>
      </c>
      <c r="W15" s="6">
        <v>9.89826739361592</v>
      </c>
      <c r="X15" s="6">
        <v>4.90793865665216</v>
      </c>
      <c r="Y15" s="6">
        <v>14.8062060502681</v>
      </c>
      <c r="Z15" s="6">
        <v>1.244792</v>
      </c>
      <c r="AA15" s="6">
        <v>1.556632</v>
      </c>
      <c r="AB15" s="6">
        <v>2.195208</v>
      </c>
      <c r="AC15" s="6">
        <v>1.883368</v>
      </c>
      <c r="AD15" s="6">
        <v>0.31184</v>
      </c>
      <c r="AE15" s="6">
        <v>1.738</v>
      </c>
      <c r="AF15" s="6">
        <v>4.2772</v>
      </c>
      <c r="AG15" s="6">
        <v>0.933035904989728</v>
      </c>
      <c r="AH15" s="6">
        <v>0.447616085501851</v>
      </c>
      <c r="AI15" s="6">
        <v>0.731750011957636</v>
      </c>
      <c r="AJ15" s="6">
        <v>91.76703802736</v>
      </c>
      <c r="AK15" s="6">
        <v>60.351913364</v>
      </c>
      <c r="AL15" s="6">
        <v>143.28574</v>
      </c>
      <c r="AM15" s="6">
        <v>99.4456</v>
      </c>
      <c r="AN15" s="6">
        <v>5.79217219601</v>
      </c>
      <c r="AO15" s="6">
        <v>6.808918356</v>
      </c>
      <c r="AP15" s="6">
        <v>0</v>
      </c>
      <c r="AQ15" s="6">
        <v>0</v>
      </c>
      <c r="AR15" s="6">
        <v>0.3386</v>
      </c>
      <c r="AS15" s="6">
        <v>0.0076</v>
      </c>
      <c r="AT15" s="6">
        <v>0</v>
      </c>
      <c r="AU15" s="6">
        <v>0.1386</v>
      </c>
      <c r="AV15" s="6">
        <v>0</v>
      </c>
      <c r="AW15" s="6">
        <v>0</v>
      </c>
      <c r="AX15" s="6">
        <v>0.462</v>
      </c>
      <c r="AY15" s="6">
        <v>0</v>
      </c>
      <c r="AZ15" s="6">
        <v>0</v>
      </c>
      <c r="BA15" s="6">
        <v>0.0532</v>
      </c>
      <c r="BB15" s="6">
        <v>0</v>
      </c>
      <c r="BC15" s="6">
        <v>0</v>
      </c>
      <c r="BD15" s="6">
        <v>0</v>
      </c>
      <c r="BE15" s="6">
        <v>0</v>
      </c>
      <c r="BF15" s="6">
        <v>0.2772</v>
      </c>
      <c r="BG15" s="6">
        <v>0</v>
      </c>
      <c r="BH15" s="6">
        <v>0</v>
      </c>
      <c r="BI15" s="6">
        <v>0</v>
      </c>
      <c r="BJ15" s="6">
        <v>0.7228</v>
      </c>
      <c r="BK15" s="6">
        <v>0</v>
      </c>
      <c r="BL15" s="6">
        <v>0</v>
      </c>
      <c r="BM15" s="6">
        <v>0</v>
      </c>
      <c r="BN15" s="6">
        <v>0</v>
      </c>
    </row>
    <row r="16" ht="34.2" customHeight="1" spans="1:66">
      <c r="A16" s="7">
        <v>75</v>
      </c>
      <c r="B16" s="7">
        <v>15</v>
      </c>
      <c r="C16" s="3" t="s">
        <v>81</v>
      </c>
      <c r="D16" s="6">
        <v>0.078</v>
      </c>
      <c r="E16" s="6">
        <v>2.814</v>
      </c>
      <c r="F16" s="6">
        <v>180</v>
      </c>
      <c r="G16" s="6">
        <f t="shared" si="0"/>
        <v>0.0156333333333333</v>
      </c>
      <c r="H16" s="6">
        <v>76.65</v>
      </c>
      <c r="I16" s="3" t="s">
        <v>67</v>
      </c>
      <c r="J16" s="3"/>
      <c r="K16" s="6">
        <v>1</v>
      </c>
      <c r="L16" s="6">
        <v>1</v>
      </c>
      <c r="M16" s="6">
        <v>1.352489</v>
      </c>
      <c r="N16" s="6">
        <v>0.614681</v>
      </c>
      <c r="O16" s="6">
        <v>2.20031040490921</v>
      </c>
      <c r="P16" s="6">
        <v>0.737808</v>
      </c>
      <c r="Q16" s="6">
        <v>0.966060451774439</v>
      </c>
      <c r="R16" s="6">
        <v>0.439057857142857</v>
      </c>
      <c r="S16" s="6">
        <v>0.023766394879</v>
      </c>
      <c r="T16" s="6">
        <v>0.000245113239</v>
      </c>
      <c r="U16" s="6">
        <v>0.113985054894384</v>
      </c>
      <c r="V16" s="6">
        <v>0.0254702727297326</v>
      </c>
      <c r="W16" s="6">
        <v>9.92629349918991</v>
      </c>
      <c r="X16" s="6">
        <v>4.90315006864317</v>
      </c>
      <c r="Y16" s="6">
        <v>14.8294435678331</v>
      </c>
      <c r="Z16" s="6">
        <v>1.244576</v>
      </c>
      <c r="AA16" s="6">
        <v>1.556596</v>
      </c>
      <c r="AB16" s="6">
        <v>2.195424</v>
      </c>
      <c r="AC16" s="6">
        <v>1.883404</v>
      </c>
      <c r="AD16" s="6">
        <v>0.31202</v>
      </c>
      <c r="AE16" s="6">
        <v>1.739</v>
      </c>
      <c r="AF16" s="6">
        <v>4.2766</v>
      </c>
      <c r="AG16" s="6">
        <v>0.932458578168489</v>
      </c>
      <c r="AH16" s="6">
        <v>0.447316934622422</v>
      </c>
      <c r="AI16" s="6">
        <v>0.731290448453964</v>
      </c>
      <c r="AJ16" s="6">
        <v>91.80030824808</v>
      </c>
      <c r="AK16" s="6">
        <v>60.324889742</v>
      </c>
      <c r="AL16" s="6">
        <v>143.32997</v>
      </c>
      <c r="AM16" s="6">
        <v>99.4468</v>
      </c>
      <c r="AN16" s="6">
        <v>5.792740710655</v>
      </c>
      <c r="AO16" s="6">
        <v>6.808959918</v>
      </c>
      <c r="AP16" s="6">
        <v>0</v>
      </c>
      <c r="AQ16" s="6">
        <v>0</v>
      </c>
      <c r="AR16" s="6">
        <v>0.3383</v>
      </c>
      <c r="AS16" s="6">
        <v>0.0078</v>
      </c>
      <c r="AT16" s="6">
        <v>0</v>
      </c>
      <c r="AU16" s="6">
        <v>0.1383</v>
      </c>
      <c r="AV16" s="6">
        <v>0</v>
      </c>
      <c r="AW16" s="6">
        <v>0</v>
      </c>
      <c r="AX16" s="6">
        <v>0.461</v>
      </c>
      <c r="AY16" s="6">
        <v>0</v>
      </c>
      <c r="AZ16" s="6">
        <v>0</v>
      </c>
      <c r="BA16" s="6">
        <v>0.0546</v>
      </c>
      <c r="BB16" s="6">
        <v>0</v>
      </c>
      <c r="BC16" s="6">
        <v>0</v>
      </c>
      <c r="BD16" s="6">
        <v>0</v>
      </c>
      <c r="BE16" s="6">
        <v>0</v>
      </c>
      <c r="BF16" s="6">
        <v>0.2766</v>
      </c>
      <c r="BG16" s="6">
        <v>0</v>
      </c>
      <c r="BH16" s="6">
        <v>0</v>
      </c>
      <c r="BI16" s="6">
        <v>0</v>
      </c>
      <c r="BJ16" s="6">
        <v>0.7234</v>
      </c>
      <c r="BK16" s="6">
        <v>0</v>
      </c>
      <c r="BL16" s="6">
        <v>0</v>
      </c>
      <c r="BM16" s="6">
        <v>0</v>
      </c>
      <c r="BN16" s="6">
        <v>0</v>
      </c>
    </row>
    <row r="17" ht="34.2" customHeight="1" spans="1:66">
      <c r="A17" s="7">
        <v>76</v>
      </c>
      <c r="B17" s="7">
        <v>16</v>
      </c>
      <c r="C17" s="3" t="s">
        <v>82</v>
      </c>
      <c r="D17" s="6">
        <v>0.08</v>
      </c>
      <c r="E17" s="6">
        <v>2.797</v>
      </c>
      <c r="F17" s="6">
        <v>182</v>
      </c>
      <c r="G17" s="6">
        <f t="shared" si="0"/>
        <v>0.0153681318681319</v>
      </c>
      <c r="H17" s="6">
        <v>77</v>
      </c>
      <c r="I17" s="3" t="s">
        <v>67</v>
      </c>
      <c r="J17" s="3"/>
      <c r="K17" s="6">
        <v>1</v>
      </c>
      <c r="L17" s="6">
        <v>1</v>
      </c>
      <c r="M17" s="6">
        <v>1.35254</v>
      </c>
      <c r="N17" s="6">
        <v>0.61466</v>
      </c>
      <c r="O17" s="6">
        <v>2.20046855171965</v>
      </c>
      <c r="P17" s="6">
        <v>0.73788</v>
      </c>
      <c r="Q17" s="6">
        <v>0.966088421613185</v>
      </c>
      <c r="R17" s="6">
        <v>0.439042857142857</v>
      </c>
      <c r="S17" s="6">
        <v>0.0237409484</v>
      </c>
      <c r="T17" s="6">
        <v>0.0002447844</v>
      </c>
      <c r="U17" s="6">
        <v>0.113919721418418</v>
      </c>
      <c r="V17" s="6">
        <v>0.0254540514061452</v>
      </c>
      <c r="W17" s="6">
        <v>9.95395280282852</v>
      </c>
      <c r="X17" s="6">
        <v>4.89834652150661</v>
      </c>
      <c r="Y17" s="6">
        <v>14.8522993243351</v>
      </c>
      <c r="Z17" s="6">
        <v>1.24436</v>
      </c>
      <c r="AA17" s="6">
        <v>1.55656</v>
      </c>
      <c r="AB17" s="6">
        <v>2.19564</v>
      </c>
      <c r="AC17" s="6">
        <v>1.88344</v>
      </c>
      <c r="AD17" s="6">
        <v>0.3122</v>
      </c>
      <c r="AE17" s="6">
        <v>1.74</v>
      </c>
      <c r="AF17" s="6">
        <v>4.276</v>
      </c>
      <c r="AG17" s="6">
        <v>0.93187982057774</v>
      </c>
      <c r="AH17" s="6">
        <v>0.447016778208604</v>
      </c>
      <c r="AI17" s="6">
        <v>0.730829665517212</v>
      </c>
      <c r="AJ17" s="6">
        <v>91.8335784688</v>
      </c>
      <c r="AK17" s="6">
        <v>60.29786612</v>
      </c>
      <c r="AL17" s="6">
        <v>143.3742</v>
      </c>
      <c r="AM17" s="6">
        <v>99.448</v>
      </c>
      <c r="AN17" s="6">
        <v>5.7933092253</v>
      </c>
      <c r="AO17" s="6">
        <v>6.80900148</v>
      </c>
      <c r="AP17" s="6">
        <v>0</v>
      </c>
      <c r="AQ17" s="6">
        <v>0</v>
      </c>
      <c r="AR17" s="6">
        <v>0.338</v>
      </c>
      <c r="AS17" s="6">
        <v>0.008</v>
      </c>
      <c r="AT17" s="6">
        <v>0</v>
      </c>
      <c r="AU17" s="6">
        <v>0.138</v>
      </c>
      <c r="AV17" s="6">
        <v>0</v>
      </c>
      <c r="AW17" s="6">
        <v>0</v>
      </c>
      <c r="AX17" s="6">
        <v>0.46</v>
      </c>
      <c r="AY17" s="6">
        <v>0</v>
      </c>
      <c r="AZ17" s="6">
        <v>0</v>
      </c>
      <c r="BA17" s="6">
        <v>0.056</v>
      </c>
      <c r="BB17" s="6">
        <v>0</v>
      </c>
      <c r="BC17" s="6">
        <v>0</v>
      </c>
      <c r="BD17" s="6">
        <v>0</v>
      </c>
      <c r="BE17" s="6">
        <v>0</v>
      </c>
      <c r="BF17" s="6">
        <v>0.276</v>
      </c>
      <c r="BG17" s="6">
        <v>0</v>
      </c>
      <c r="BH17" s="6">
        <v>0</v>
      </c>
      <c r="BI17" s="6">
        <v>0</v>
      </c>
      <c r="BJ17" s="6">
        <v>0.724</v>
      </c>
      <c r="BK17" s="6">
        <v>0</v>
      </c>
      <c r="BL17" s="6">
        <v>0</v>
      </c>
      <c r="BM17" s="6">
        <v>0</v>
      </c>
      <c r="BN17" s="6">
        <v>0</v>
      </c>
    </row>
    <row r="18" ht="34.2" customHeight="1" spans="1:66">
      <c r="A18" s="7">
        <v>77</v>
      </c>
      <c r="B18" s="7">
        <v>17</v>
      </c>
      <c r="C18" s="3" t="s">
        <v>83</v>
      </c>
      <c r="D18" s="6">
        <v>0.082</v>
      </c>
      <c r="E18" s="6">
        <v>2.925</v>
      </c>
      <c r="F18" s="6">
        <v>184</v>
      </c>
      <c r="G18" s="6">
        <f t="shared" si="0"/>
        <v>0.0158967391304348</v>
      </c>
      <c r="H18" s="6">
        <v>76.52</v>
      </c>
      <c r="I18" s="3" t="s">
        <v>67</v>
      </c>
      <c r="J18" s="3"/>
      <c r="K18" s="6">
        <v>1</v>
      </c>
      <c r="L18" s="6">
        <v>1</v>
      </c>
      <c r="M18" s="6">
        <v>1.352591</v>
      </c>
      <c r="N18" s="6">
        <v>0.614639</v>
      </c>
      <c r="O18" s="6">
        <v>2.2006267093367</v>
      </c>
      <c r="P18" s="6">
        <v>0.737952</v>
      </c>
      <c r="Q18" s="6">
        <v>0.96611639203503</v>
      </c>
      <c r="R18" s="6">
        <v>0.439027857142857</v>
      </c>
      <c r="S18" s="6">
        <v>0.023715496719</v>
      </c>
      <c r="T18" s="6">
        <v>0.000244454679</v>
      </c>
      <c r="U18" s="6">
        <v>0.113854347664675</v>
      </c>
      <c r="V18" s="6">
        <v>0.0254377715995438</v>
      </c>
      <c r="W18" s="6">
        <v>9.98125378198684</v>
      </c>
      <c r="X18" s="6">
        <v>4.89352799514661</v>
      </c>
      <c r="Y18" s="6">
        <v>14.8747817771335</v>
      </c>
      <c r="Z18" s="6">
        <v>1.244144</v>
      </c>
      <c r="AA18" s="6">
        <v>1.556524</v>
      </c>
      <c r="AB18" s="6">
        <v>2.195856</v>
      </c>
      <c r="AC18" s="6">
        <v>1.883476</v>
      </c>
      <c r="AD18" s="6">
        <v>0.31238</v>
      </c>
      <c r="AE18" s="6">
        <v>1.741</v>
      </c>
      <c r="AF18" s="6">
        <v>4.2754</v>
      </c>
      <c r="AG18" s="6">
        <v>0.931299629550018</v>
      </c>
      <c r="AH18" s="6">
        <v>0.446715614233485</v>
      </c>
      <c r="AI18" s="6">
        <v>0.730367660839389</v>
      </c>
      <c r="AJ18" s="6">
        <v>91.86684868952</v>
      </c>
      <c r="AK18" s="6">
        <v>60.270842498</v>
      </c>
      <c r="AL18" s="6">
        <v>143.41843</v>
      </c>
      <c r="AM18" s="6">
        <v>99.4492</v>
      </c>
      <c r="AN18" s="6">
        <v>5.793877739945</v>
      </c>
      <c r="AO18" s="6">
        <v>6.809043042</v>
      </c>
      <c r="AP18" s="6">
        <v>0</v>
      </c>
      <c r="AQ18" s="6">
        <v>0</v>
      </c>
      <c r="AR18" s="6">
        <v>0.3377</v>
      </c>
      <c r="AS18" s="6">
        <v>0.0082</v>
      </c>
      <c r="AT18" s="6">
        <v>0</v>
      </c>
      <c r="AU18" s="6">
        <v>0.1377</v>
      </c>
      <c r="AV18" s="6">
        <v>0</v>
      </c>
      <c r="AW18" s="6">
        <v>0</v>
      </c>
      <c r="AX18" s="6">
        <v>0.459</v>
      </c>
      <c r="AY18" s="6">
        <v>0</v>
      </c>
      <c r="AZ18" s="6">
        <v>0</v>
      </c>
      <c r="BA18" s="6">
        <v>0.0574</v>
      </c>
      <c r="BB18" s="6">
        <v>0</v>
      </c>
      <c r="BC18" s="6">
        <v>0</v>
      </c>
      <c r="BD18" s="6">
        <v>0</v>
      </c>
      <c r="BE18" s="6">
        <v>0</v>
      </c>
      <c r="BF18" s="6">
        <v>0.2754</v>
      </c>
      <c r="BG18" s="6">
        <v>0</v>
      </c>
      <c r="BH18" s="6">
        <v>0</v>
      </c>
      <c r="BI18" s="6">
        <v>0</v>
      </c>
      <c r="BJ18" s="6">
        <v>0.7246</v>
      </c>
      <c r="BK18" s="6">
        <v>0</v>
      </c>
      <c r="BL18" s="6">
        <v>0</v>
      </c>
      <c r="BM18" s="6">
        <v>0</v>
      </c>
      <c r="BN18" s="6">
        <v>0</v>
      </c>
    </row>
    <row r="19" ht="34.2" customHeight="1" spans="1:66">
      <c r="A19" s="7">
        <v>78</v>
      </c>
      <c r="B19" s="7">
        <v>18</v>
      </c>
      <c r="C19" s="3" t="s">
        <v>84</v>
      </c>
      <c r="D19" s="6">
        <v>0.084</v>
      </c>
      <c r="E19" s="6">
        <v>3.013</v>
      </c>
      <c r="F19" s="6">
        <v>186</v>
      </c>
      <c r="G19" s="6">
        <f t="shared" si="0"/>
        <v>0.0161989247311828</v>
      </c>
      <c r="H19" s="6">
        <v>76.41</v>
      </c>
      <c r="I19" s="3" t="s">
        <v>67</v>
      </c>
      <c r="J19" s="3"/>
      <c r="K19" s="6">
        <v>1</v>
      </c>
      <c r="L19" s="6">
        <v>1</v>
      </c>
      <c r="M19" s="6">
        <v>1.352642</v>
      </c>
      <c r="N19" s="6">
        <v>0.614618</v>
      </c>
      <c r="O19" s="6">
        <v>2.20078487776147</v>
      </c>
      <c r="P19" s="6">
        <v>0.738024</v>
      </c>
      <c r="Q19" s="6">
        <v>0.966144363039991</v>
      </c>
      <c r="R19" s="6">
        <v>0.439012857142857</v>
      </c>
      <c r="S19" s="6">
        <v>0.023690039836</v>
      </c>
      <c r="T19" s="6">
        <v>0.000244124076</v>
      </c>
      <c r="U19" s="6">
        <v>0.113788933564922</v>
      </c>
      <c r="V19" s="6">
        <v>0.0254214331878102</v>
      </c>
      <c r="W19" s="6">
        <v>10.0082044976508</v>
      </c>
      <c r="X19" s="6">
        <v>4.88869446935913</v>
      </c>
      <c r="Y19" s="6">
        <v>14.89689896701</v>
      </c>
      <c r="Z19" s="6">
        <v>1.243928</v>
      </c>
      <c r="AA19" s="6">
        <v>1.556488</v>
      </c>
      <c r="AB19" s="6">
        <v>2.196072</v>
      </c>
      <c r="AC19" s="6">
        <v>1.883512</v>
      </c>
      <c r="AD19" s="6">
        <v>0.31256</v>
      </c>
      <c r="AE19" s="6">
        <v>1.742</v>
      </c>
      <c r="AF19" s="6">
        <v>4.2748</v>
      </c>
      <c r="AG19" s="6">
        <v>0.930718002404595</v>
      </c>
      <c r="AH19" s="6">
        <v>0.446413440657873</v>
      </c>
      <c r="AI19" s="6">
        <v>0.729904432100532</v>
      </c>
      <c r="AJ19" s="6">
        <v>91.90011891024</v>
      </c>
      <c r="AK19" s="6">
        <v>60.243818876</v>
      </c>
      <c r="AL19" s="6">
        <v>143.46266</v>
      </c>
      <c r="AM19" s="6">
        <v>99.4504</v>
      </c>
      <c r="AN19" s="6">
        <v>5.79444625459</v>
      </c>
      <c r="AO19" s="6">
        <v>6.809084604</v>
      </c>
      <c r="AP19" s="6">
        <v>0</v>
      </c>
      <c r="AQ19" s="6">
        <v>0</v>
      </c>
      <c r="AR19" s="6">
        <v>0.3374</v>
      </c>
      <c r="AS19" s="6">
        <v>0.0084</v>
      </c>
      <c r="AT19" s="6">
        <v>0</v>
      </c>
      <c r="AU19" s="6">
        <v>0.1374</v>
      </c>
      <c r="AV19" s="6">
        <v>0</v>
      </c>
      <c r="AW19" s="6">
        <v>0</v>
      </c>
      <c r="AX19" s="6">
        <v>0.458</v>
      </c>
      <c r="AY19" s="6">
        <v>0</v>
      </c>
      <c r="AZ19" s="6">
        <v>0</v>
      </c>
      <c r="BA19" s="6">
        <v>0.0588</v>
      </c>
      <c r="BB19" s="6">
        <v>0</v>
      </c>
      <c r="BC19" s="6">
        <v>0</v>
      </c>
      <c r="BD19" s="6">
        <v>0</v>
      </c>
      <c r="BE19" s="6">
        <v>0</v>
      </c>
      <c r="BF19" s="6">
        <v>0.2748</v>
      </c>
      <c r="BG19" s="6">
        <v>0</v>
      </c>
      <c r="BH19" s="6">
        <v>0</v>
      </c>
      <c r="BI19" s="6">
        <v>0</v>
      </c>
      <c r="BJ19" s="6">
        <v>0.7252</v>
      </c>
      <c r="BK19" s="6">
        <v>0</v>
      </c>
      <c r="BL19" s="6">
        <v>0</v>
      </c>
      <c r="BM19" s="6">
        <v>0</v>
      </c>
      <c r="BN19" s="6">
        <v>0</v>
      </c>
    </row>
    <row r="20" ht="34.2" customHeight="1" spans="1:66">
      <c r="A20" s="7">
        <v>79</v>
      </c>
      <c r="B20" s="7">
        <v>19</v>
      </c>
      <c r="C20" s="3" t="s">
        <v>85</v>
      </c>
      <c r="D20" s="6">
        <v>0.086</v>
      </c>
      <c r="E20" s="6">
        <v>3.067</v>
      </c>
      <c r="F20" s="6">
        <v>188</v>
      </c>
      <c r="G20" s="6">
        <f t="shared" si="0"/>
        <v>0.016313829787234</v>
      </c>
      <c r="H20" s="6">
        <v>76.87</v>
      </c>
      <c r="I20" s="3" t="s">
        <v>67</v>
      </c>
      <c r="J20" s="3"/>
      <c r="K20" s="6">
        <v>1</v>
      </c>
      <c r="L20" s="6">
        <v>1</v>
      </c>
      <c r="M20" s="6">
        <v>1.352693</v>
      </c>
      <c r="N20" s="6">
        <v>0.614597</v>
      </c>
      <c r="O20" s="6">
        <v>2.20094305699507</v>
      </c>
      <c r="P20" s="6">
        <v>0.738096</v>
      </c>
      <c r="Q20" s="6">
        <v>0.966172334628087</v>
      </c>
      <c r="R20" s="6">
        <v>0.438997857142857</v>
      </c>
      <c r="S20" s="6">
        <v>0.023664577751</v>
      </c>
      <c r="T20" s="6">
        <v>0.000243792591</v>
      </c>
      <c r="U20" s="6">
        <v>0.113723479050726</v>
      </c>
      <c r="V20" s="6">
        <v>0.0254050360481048</v>
      </c>
      <c r="W20" s="6">
        <v>10.0348126240792</v>
      </c>
      <c r="X20" s="6">
        <v>4.88384592383127</v>
      </c>
      <c r="Y20" s="6">
        <v>14.9186585479105</v>
      </c>
      <c r="Z20" s="6">
        <v>1.243712</v>
      </c>
      <c r="AA20" s="6">
        <v>1.556452</v>
      </c>
      <c r="AB20" s="6">
        <v>2.196288</v>
      </c>
      <c r="AC20" s="6">
        <v>1.883548</v>
      </c>
      <c r="AD20" s="6">
        <v>0.31274</v>
      </c>
      <c r="AE20" s="6">
        <v>1.743</v>
      </c>
      <c r="AF20" s="6">
        <v>4.2742</v>
      </c>
      <c r="AG20" s="6">
        <v>0.930134936447395</v>
      </c>
      <c r="AH20" s="6">
        <v>0.446110255430202</v>
      </c>
      <c r="AI20" s="6">
        <v>0.729439976968633</v>
      </c>
      <c r="AJ20" s="6">
        <v>91.93338913096</v>
      </c>
      <c r="AK20" s="6">
        <v>60.216795254</v>
      </c>
      <c r="AL20" s="6">
        <v>143.50689</v>
      </c>
      <c r="AM20" s="6">
        <v>99.4516</v>
      </c>
      <c r="AN20" s="6">
        <v>5.795014769235</v>
      </c>
      <c r="AO20" s="6">
        <v>6.809126166</v>
      </c>
      <c r="AP20" s="6">
        <v>0</v>
      </c>
      <c r="AQ20" s="6">
        <v>0</v>
      </c>
      <c r="AR20" s="6">
        <v>0.3371</v>
      </c>
      <c r="AS20" s="6">
        <v>0.0086</v>
      </c>
      <c r="AT20" s="6">
        <v>0</v>
      </c>
      <c r="AU20" s="6">
        <v>0.1371</v>
      </c>
      <c r="AV20" s="6">
        <v>0</v>
      </c>
      <c r="AW20" s="6">
        <v>0</v>
      </c>
      <c r="AX20" s="6">
        <v>0.457</v>
      </c>
      <c r="AY20" s="6">
        <v>0</v>
      </c>
      <c r="AZ20" s="6">
        <v>0</v>
      </c>
      <c r="BA20" s="6">
        <v>0.0602</v>
      </c>
      <c r="BB20" s="6">
        <v>0</v>
      </c>
      <c r="BC20" s="6">
        <v>0</v>
      </c>
      <c r="BD20" s="6">
        <v>0</v>
      </c>
      <c r="BE20" s="6">
        <v>0</v>
      </c>
      <c r="BF20" s="6">
        <v>0.2742</v>
      </c>
      <c r="BG20" s="6">
        <v>0</v>
      </c>
      <c r="BH20" s="6">
        <v>0</v>
      </c>
      <c r="BI20" s="6">
        <v>0</v>
      </c>
      <c r="BJ20" s="6">
        <v>0.7258</v>
      </c>
      <c r="BK20" s="6">
        <v>0</v>
      </c>
      <c r="BL20" s="6">
        <v>0</v>
      </c>
      <c r="BM20" s="6">
        <v>0</v>
      </c>
      <c r="BN20" s="6">
        <v>0</v>
      </c>
    </row>
    <row r="21" ht="34.2" customHeight="1" spans="1:66">
      <c r="A21" s="7">
        <v>80</v>
      </c>
      <c r="B21" s="7">
        <v>20</v>
      </c>
      <c r="C21" s="3" t="s">
        <v>86</v>
      </c>
      <c r="D21" s="6">
        <v>0.088</v>
      </c>
      <c r="E21" s="6">
        <v>3.12</v>
      </c>
      <c r="F21" s="6">
        <v>190</v>
      </c>
      <c r="G21" s="6">
        <f t="shared" si="0"/>
        <v>0.0164210526315789</v>
      </c>
      <c r="H21" s="6">
        <v>79</v>
      </c>
      <c r="I21" s="3" t="s">
        <v>67</v>
      </c>
      <c r="J21" s="3"/>
      <c r="K21" s="6">
        <v>1</v>
      </c>
      <c r="L21" s="6">
        <v>1</v>
      </c>
      <c r="M21" s="6">
        <v>1.352744</v>
      </c>
      <c r="N21" s="6">
        <v>0.614576</v>
      </c>
      <c r="O21" s="6">
        <v>2.20110124703861</v>
      </c>
      <c r="P21" s="6">
        <v>0.738168</v>
      </c>
      <c r="Q21" s="6">
        <v>0.966200306799337</v>
      </c>
      <c r="R21" s="6">
        <v>0.438982857142857</v>
      </c>
      <c r="S21" s="6">
        <v>0.023639110464</v>
      </c>
      <c r="T21" s="6">
        <v>0.000243460224</v>
      </c>
      <c r="U21" s="6">
        <v>0.113657984053456</v>
      </c>
      <c r="V21" s="6">
        <v>0.0253885800568616</v>
      </c>
      <c r="W21" s="6">
        <v>10.0610854757773</v>
      </c>
      <c r="X21" s="6">
        <v>4.87898233814062</v>
      </c>
      <c r="Y21" s="6">
        <v>14.9400678139179</v>
      </c>
      <c r="Z21" s="6">
        <v>1.243496</v>
      </c>
      <c r="AA21" s="6">
        <v>1.556416</v>
      </c>
      <c r="AB21" s="6">
        <v>2.196504</v>
      </c>
      <c r="AC21" s="6">
        <v>1.883584</v>
      </c>
      <c r="AD21" s="6">
        <v>0.31292</v>
      </c>
      <c r="AE21" s="6">
        <v>1.744</v>
      </c>
      <c r="AF21" s="6">
        <v>4.2736</v>
      </c>
      <c r="AG21" s="6">
        <v>0.929550428970909</v>
      </c>
      <c r="AH21" s="6">
        <v>0.44580605648645</v>
      </c>
      <c r="AI21" s="6">
        <v>0.728974293099558</v>
      </c>
      <c r="AJ21" s="6">
        <v>91.96665935168</v>
      </c>
      <c r="AK21" s="6">
        <v>60.189771632</v>
      </c>
      <c r="AL21" s="6">
        <v>143.55112</v>
      </c>
      <c r="AM21" s="6">
        <v>99.4528</v>
      </c>
      <c r="AN21" s="6">
        <v>5.79558328388</v>
      </c>
      <c r="AO21" s="6">
        <v>6.809167728</v>
      </c>
      <c r="AP21" s="6">
        <v>0</v>
      </c>
      <c r="AQ21" s="6">
        <v>0</v>
      </c>
      <c r="AR21" s="6">
        <v>0.3368</v>
      </c>
      <c r="AS21" s="6">
        <v>0.0088</v>
      </c>
      <c r="AT21" s="6">
        <v>0</v>
      </c>
      <c r="AU21" s="6">
        <v>0.1368</v>
      </c>
      <c r="AV21" s="6">
        <v>0</v>
      </c>
      <c r="AW21" s="6">
        <v>0</v>
      </c>
      <c r="AX21" s="6">
        <v>0.456</v>
      </c>
      <c r="AY21" s="6">
        <v>0</v>
      </c>
      <c r="AZ21" s="6">
        <v>0</v>
      </c>
      <c r="BA21" s="6">
        <v>0.0616</v>
      </c>
      <c r="BB21" s="6">
        <v>0</v>
      </c>
      <c r="BC21" s="6">
        <v>0</v>
      </c>
      <c r="BD21" s="6">
        <v>0</v>
      </c>
      <c r="BE21" s="6">
        <v>0</v>
      </c>
      <c r="BF21" s="6">
        <v>0.2736</v>
      </c>
      <c r="BG21" s="6">
        <v>0</v>
      </c>
      <c r="BH21" s="6">
        <v>0</v>
      </c>
      <c r="BI21" s="6">
        <v>0</v>
      </c>
      <c r="BJ21" s="6">
        <v>0.7264</v>
      </c>
      <c r="BK21" s="6">
        <v>0</v>
      </c>
      <c r="BL21" s="6">
        <v>0</v>
      </c>
      <c r="BM21" s="6">
        <v>0</v>
      </c>
      <c r="BN21" s="6">
        <v>0</v>
      </c>
    </row>
    <row r="22" ht="34.2" customHeight="1" spans="1:66">
      <c r="A22" s="7">
        <v>81</v>
      </c>
      <c r="B22" s="7">
        <v>21</v>
      </c>
      <c r="C22" s="3" t="s">
        <v>87</v>
      </c>
      <c r="D22" s="6">
        <v>0.09</v>
      </c>
      <c r="E22" s="6">
        <v>2.989</v>
      </c>
      <c r="F22" s="6">
        <v>192</v>
      </c>
      <c r="G22" s="6">
        <f t="shared" si="0"/>
        <v>0.0155677083333333</v>
      </c>
      <c r="H22" s="6">
        <v>76.32</v>
      </c>
      <c r="I22" s="3" t="s">
        <v>67</v>
      </c>
      <c r="J22" s="3"/>
      <c r="K22" s="6">
        <v>1</v>
      </c>
      <c r="L22" s="6">
        <v>1</v>
      </c>
      <c r="M22" s="6">
        <v>1.352795</v>
      </c>
      <c r="N22" s="6">
        <v>0.614555</v>
      </c>
      <c r="O22" s="6">
        <v>2.20125944789319</v>
      </c>
      <c r="P22" s="6">
        <v>0.73824</v>
      </c>
      <c r="Q22" s="6">
        <v>0.966228279553759</v>
      </c>
      <c r="R22" s="6">
        <v>0.438967857142857</v>
      </c>
      <c r="S22" s="6">
        <v>0.023613637975</v>
      </c>
      <c r="T22" s="6">
        <v>0.000243126975</v>
      </c>
      <c r="U22" s="6">
        <v>0.113592448504276</v>
      </c>
      <c r="V22" s="6">
        <v>0.0253720650897831</v>
      </c>
      <c r="W22" s="6">
        <v>10.0870300320172</v>
      </c>
      <c r="X22" s="6">
        <v>4.87410369175463</v>
      </c>
      <c r="Y22" s="6">
        <v>14.9611337237719</v>
      </c>
      <c r="Z22" s="6">
        <v>1.24328</v>
      </c>
      <c r="AA22" s="6">
        <v>1.55638</v>
      </c>
      <c r="AB22" s="6">
        <v>2.19672</v>
      </c>
      <c r="AC22" s="6">
        <v>1.88362</v>
      </c>
      <c r="AD22" s="6">
        <v>0.3131</v>
      </c>
      <c r="AE22" s="6">
        <v>1.745</v>
      </c>
      <c r="AF22" s="6">
        <v>4.273</v>
      </c>
      <c r="AG22" s="6">
        <v>0.928964477254109</v>
      </c>
      <c r="AH22" s="6">
        <v>0.445500841750047</v>
      </c>
      <c r="AI22" s="6">
        <v>0.728507378136969</v>
      </c>
      <c r="AJ22" s="6">
        <v>91.9999295724</v>
      </c>
      <c r="AK22" s="6">
        <v>60.16274801</v>
      </c>
      <c r="AL22" s="6">
        <v>143.59535</v>
      </c>
      <c r="AM22" s="6">
        <v>99.454</v>
      </c>
      <c r="AN22" s="6">
        <v>5.796151798525</v>
      </c>
      <c r="AO22" s="6">
        <v>6.80920929</v>
      </c>
      <c r="AP22" s="6">
        <v>0</v>
      </c>
      <c r="AQ22" s="6">
        <v>0</v>
      </c>
      <c r="AR22" s="6">
        <v>0.3365</v>
      </c>
      <c r="AS22" s="6">
        <v>0.009</v>
      </c>
      <c r="AT22" s="6">
        <v>0</v>
      </c>
      <c r="AU22" s="6">
        <v>0.1365</v>
      </c>
      <c r="AV22" s="6">
        <v>0</v>
      </c>
      <c r="AW22" s="6">
        <v>0</v>
      </c>
      <c r="AX22" s="6">
        <v>0.455</v>
      </c>
      <c r="AY22" s="6">
        <v>0</v>
      </c>
      <c r="AZ22" s="6">
        <v>0</v>
      </c>
      <c r="BA22" s="6">
        <v>0.063</v>
      </c>
      <c r="BB22" s="6">
        <v>0</v>
      </c>
      <c r="BC22" s="6">
        <v>0</v>
      </c>
      <c r="BD22" s="6">
        <v>0</v>
      </c>
      <c r="BE22" s="6">
        <v>0</v>
      </c>
      <c r="BF22" s="6">
        <v>0.273</v>
      </c>
      <c r="BG22" s="6">
        <v>0</v>
      </c>
      <c r="BH22" s="6">
        <v>0</v>
      </c>
      <c r="BI22" s="6">
        <v>0</v>
      </c>
      <c r="BJ22" s="6">
        <v>0.727</v>
      </c>
      <c r="BK22" s="6">
        <v>0</v>
      </c>
      <c r="BL22" s="6">
        <v>0</v>
      </c>
      <c r="BM22" s="6">
        <v>0</v>
      </c>
      <c r="BN22" s="6">
        <v>0</v>
      </c>
    </row>
    <row r="23" ht="34.2" customHeight="1" spans="1:66">
      <c r="A23" s="7">
        <v>82</v>
      </c>
      <c r="B23" s="7">
        <v>22</v>
      </c>
      <c r="C23" s="3" t="s">
        <v>88</v>
      </c>
      <c r="D23" s="6">
        <v>0.092</v>
      </c>
      <c r="E23" s="6">
        <v>3.347</v>
      </c>
      <c r="F23" s="6">
        <v>194</v>
      </c>
      <c r="G23" s="6">
        <f t="shared" si="0"/>
        <v>0.0172525773195876</v>
      </c>
      <c r="H23" s="6">
        <v>76.23</v>
      </c>
      <c r="I23" s="3" t="s">
        <v>67</v>
      </c>
      <c r="J23" s="3"/>
      <c r="K23" s="6">
        <v>1</v>
      </c>
      <c r="L23" s="6">
        <v>1</v>
      </c>
      <c r="M23" s="6">
        <v>1.352846</v>
      </c>
      <c r="N23" s="6">
        <v>0.614534</v>
      </c>
      <c r="O23" s="6">
        <v>2.20141765955993</v>
      </c>
      <c r="P23" s="6">
        <v>0.738312</v>
      </c>
      <c r="Q23" s="6">
        <v>0.96625625289137</v>
      </c>
      <c r="R23" s="6">
        <v>0.438952857142857</v>
      </c>
      <c r="S23" s="6">
        <v>0.023588160284</v>
      </c>
      <c r="T23" s="6">
        <v>0.000242792844</v>
      </c>
      <c r="U23" s="6">
        <v>0.113526872334149</v>
      </c>
      <c r="V23" s="6">
        <v>0.0253554910218351</v>
      </c>
      <c r="W23" s="6">
        <v>10.1126529591776</v>
      </c>
      <c r="X23" s="6">
        <v>4.86920996402986</v>
      </c>
      <c r="Y23" s="6">
        <v>14.9818629232075</v>
      </c>
      <c r="Z23" s="6">
        <v>1.243064</v>
      </c>
      <c r="AA23" s="6">
        <v>1.556344</v>
      </c>
      <c r="AB23" s="6">
        <v>2.196936</v>
      </c>
      <c r="AC23" s="6">
        <v>1.883656</v>
      </c>
      <c r="AD23" s="6">
        <v>0.31328</v>
      </c>
      <c r="AE23" s="6">
        <v>1.746</v>
      </c>
      <c r="AF23" s="6">
        <v>4.2724</v>
      </c>
      <c r="AG23" s="6">
        <v>0.92837707856237</v>
      </c>
      <c r="AH23" s="6">
        <v>0.445194609131782</v>
      </c>
      <c r="AI23" s="6">
        <v>0.728039229712246</v>
      </c>
      <c r="AJ23" s="6">
        <v>92.03319979312</v>
      </c>
      <c r="AK23" s="6">
        <v>60.135724388</v>
      </c>
      <c r="AL23" s="6">
        <v>143.63958</v>
      </c>
      <c r="AM23" s="6">
        <v>99.4552</v>
      </c>
      <c r="AN23" s="6">
        <v>5.79672031317</v>
      </c>
      <c r="AO23" s="6">
        <v>6.809250852</v>
      </c>
      <c r="AP23" s="6">
        <v>0</v>
      </c>
      <c r="AQ23" s="6">
        <v>0</v>
      </c>
      <c r="AR23" s="6">
        <v>0.3362</v>
      </c>
      <c r="AS23" s="6">
        <v>0.0092</v>
      </c>
      <c r="AT23" s="6">
        <v>0</v>
      </c>
      <c r="AU23" s="6">
        <v>0.1362</v>
      </c>
      <c r="AV23" s="6">
        <v>0</v>
      </c>
      <c r="AW23" s="6">
        <v>0</v>
      </c>
      <c r="AX23" s="6">
        <v>0.454</v>
      </c>
      <c r="AY23" s="6">
        <v>0</v>
      </c>
      <c r="AZ23" s="6">
        <v>0</v>
      </c>
      <c r="BA23" s="6">
        <v>0.0644</v>
      </c>
      <c r="BB23" s="6">
        <v>0</v>
      </c>
      <c r="BC23" s="6">
        <v>0</v>
      </c>
      <c r="BD23" s="6">
        <v>0</v>
      </c>
      <c r="BE23" s="6">
        <v>0</v>
      </c>
      <c r="BF23" s="6">
        <v>0.2724</v>
      </c>
      <c r="BG23" s="6">
        <v>0</v>
      </c>
      <c r="BH23" s="6">
        <v>0</v>
      </c>
      <c r="BI23" s="6">
        <v>0</v>
      </c>
      <c r="BJ23" s="6">
        <v>0.7276</v>
      </c>
      <c r="BK23" s="6">
        <v>0</v>
      </c>
      <c r="BL23" s="6">
        <v>0</v>
      </c>
      <c r="BM23" s="6">
        <v>0</v>
      </c>
      <c r="BN23" s="6">
        <v>0</v>
      </c>
    </row>
    <row r="24" ht="34.2" customHeight="1" spans="1:66">
      <c r="A24" s="7">
        <v>83</v>
      </c>
      <c r="B24" s="7">
        <v>23</v>
      </c>
      <c r="C24" s="3" t="s">
        <v>89</v>
      </c>
      <c r="D24" s="6">
        <v>0.094</v>
      </c>
      <c r="E24" s="6">
        <v>3.513</v>
      </c>
      <c r="F24" s="6">
        <v>196</v>
      </c>
      <c r="G24" s="6">
        <f t="shared" si="0"/>
        <v>0.0179234693877551</v>
      </c>
      <c r="H24" s="6">
        <v>76.52</v>
      </c>
      <c r="I24" s="3" t="s">
        <v>67</v>
      </c>
      <c r="J24" s="3"/>
      <c r="K24" s="6">
        <v>1</v>
      </c>
      <c r="L24" s="6">
        <v>1</v>
      </c>
      <c r="M24" s="6">
        <v>1.352897</v>
      </c>
      <c r="N24" s="6">
        <v>0.614513</v>
      </c>
      <c r="O24" s="6">
        <v>2.20157588203992</v>
      </c>
      <c r="P24" s="6">
        <v>0.738384</v>
      </c>
      <c r="Q24" s="6">
        <v>0.966284226812189</v>
      </c>
      <c r="R24" s="6">
        <v>0.438937857142857</v>
      </c>
      <c r="S24" s="6">
        <v>0.023562677391</v>
      </c>
      <c r="T24" s="6">
        <v>0.000242457831</v>
      </c>
      <c r="U24" s="6">
        <v>0.113461255473832</v>
      </c>
      <c r="V24" s="6">
        <v>0.0253388577272411</v>
      </c>
      <c r="W24" s="6">
        <v>10.1379606311397</v>
      </c>
      <c r="X24" s="6">
        <v>4.86430113421138</v>
      </c>
      <c r="Y24" s="6">
        <v>15.0022617653511</v>
      </c>
      <c r="Z24" s="6">
        <v>1.242848</v>
      </c>
      <c r="AA24" s="6">
        <v>1.556308</v>
      </c>
      <c r="AB24" s="6">
        <v>2.197152</v>
      </c>
      <c r="AC24" s="6">
        <v>1.883692</v>
      </c>
      <c r="AD24" s="6">
        <v>0.31346</v>
      </c>
      <c r="AE24" s="6">
        <v>1.747</v>
      </c>
      <c r="AF24" s="6">
        <v>4.2718</v>
      </c>
      <c r="AG24" s="6">
        <v>0.927788230147376</v>
      </c>
      <c r="AH24" s="6">
        <v>0.444887356529718</v>
      </c>
      <c r="AI24" s="6">
        <v>0.727569845444408</v>
      </c>
      <c r="AJ24" s="6">
        <v>92.06647001384</v>
      </c>
      <c r="AK24" s="6">
        <v>60.108700766</v>
      </c>
      <c r="AL24" s="6">
        <v>143.68381</v>
      </c>
      <c r="AM24" s="6">
        <v>99.4564</v>
      </c>
      <c r="AN24" s="6">
        <v>5.797288827815</v>
      </c>
      <c r="AO24" s="6">
        <v>6.809292414</v>
      </c>
      <c r="AP24" s="6">
        <v>0</v>
      </c>
      <c r="AQ24" s="6">
        <v>0</v>
      </c>
      <c r="AR24" s="6">
        <v>0.3359</v>
      </c>
      <c r="AS24" s="6">
        <v>0.0094</v>
      </c>
      <c r="AT24" s="6">
        <v>0</v>
      </c>
      <c r="AU24" s="6">
        <v>0.1359</v>
      </c>
      <c r="AV24" s="6">
        <v>0</v>
      </c>
      <c r="AW24" s="6">
        <v>0</v>
      </c>
      <c r="AX24" s="6">
        <v>0.453</v>
      </c>
      <c r="AY24" s="6">
        <v>0</v>
      </c>
      <c r="AZ24" s="6">
        <v>0</v>
      </c>
      <c r="BA24" s="6">
        <v>0.0658</v>
      </c>
      <c r="BB24" s="6">
        <v>0</v>
      </c>
      <c r="BC24" s="6">
        <v>0</v>
      </c>
      <c r="BD24" s="6">
        <v>0</v>
      </c>
      <c r="BE24" s="6">
        <v>0</v>
      </c>
      <c r="BF24" s="6">
        <v>0.2718</v>
      </c>
      <c r="BG24" s="6">
        <v>0</v>
      </c>
      <c r="BH24" s="6">
        <v>0</v>
      </c>
      <c r="BI24" s="6">
        <v>0</v>
      </c>
      <c r="BJ24" s="6">
        <v>0.7282</v>
      </c>
      <c r="BK24" s="6">
        <v>0</v>
      </c>
      <c r="BL24" s="6">
        <v>0</v>
      </c>
      <c r="BM24" s="6">
        <v>0</v>
      </c>
      <c r="BN24" s="6">
        <v>0</v>
      </c>
    </row>
    <row r="25" ht="34.2" customHeight="1" spans="1:66">
      <c r="A25" s="7">
        <v>84</v>
      </c>
      <c r="B25" s="7">
        <v>24</v>
      </c>
      <c r="C25" s="3" t="s">
        <v>90</v>
      </c>
      <c r="D25" s="6">
        <v>0.096</v>
      </c>
      <c r="E25" s="6">
        <v>3.666</v>
      </c>
      <c r="F25" s="6">
        <v>197</v>
      </c>
      <c r="G25" s="6">
        <f t="shared" si="0"/>
        <v>0.0186091370558376</v>
      </c>
      <c r="H25" s="6">
        <v>76.53</v>
      </c>
      <c r="I25" s="3" t="s">
        <v>67</v>
      </c>
      <c r="J25" s="3"/>
      <c r="K25" s="6">
        <v>1</v>
      </c>
      <c r="L25" s="6">
        <v>1</v>
      </c>
      <c r="M25" s="6">
        <v>1.352948</v>
      </c>
      <c r="N25" s="6">
        <v>0.614492</v>
      </c>
      <c r="O25" s="6">
        <v>2.20173411533429</v>
      </c>
      <c r="P25" s="6">
        <v>0.738456</v>
      </c>
      <c r="Q25" s="6">
        <v>0.966312201316234</v>
      </c>
      <c r="R25" s="6">
        <v>0.438922857142857</v>
      </c>
      <c r="S25" s="6">
        <v>0.023537189296</v>
      </c>
      <c r="T25" s="6">
        <v>0.000242121936</v>
      </c>
      <c r="U25" s="6">
        <v>0.113395597853882</v>
      </c>
      <c r="V25" s="6">
        <v>0.0253221650794775</v>
      </c>
      <c r="W25" s="6">
        <v>10.1629591479468</v>
      </c>
      <c r="X25" s="6">
        <v>4.859377181432</v>
      </c>
      <c r="Y25" s="6">
        <v>15.0223363293788</v>
      </c>
      <c r="Z25" s="6">
        <v>1.242632</v>
      </c>
      <c r="AA25" s="6">
        <v>1.556272</v>
      </c>
      <c r="AB25" s="6">
        <v>2.197368</v>
      </c>
      <c r="AC25" s="6">
        <v>1.883728</v>
      </c>
      <c r="AD25" s="6">
        <v>0.31364</v>
      </c>
      <c r="AE25" s="6">
        <v>1.748</v>
      </c>
      <c r="AF25" s="6">
        <v>4.2712</v>
      </c>
      <c r="AG25" s="6">
        <v>0.927197929247041</v>
      </c>
      <c r="AH25" s="6">
        <v>0.444579081829094</v>
      </c>
      <c r="AI25" s="6">
        <v>0.727099222940033</v>
      </c>
      <c r="AJ25" s="6">
        <v>92.09974023456</v>
      </c>
      <c r="AK25" s="6">
        <v>60.081677144</v>
      </c>
      <c r="AL25" s="6">
        <v>143.72804</v>
      </c>
      <c r="AM25" s="6">
        <v>99.4576</v>
      </c>
      <c r="AN25" s="6">
        <v>5.79785734246</v>
      </c>
      <c r="AO25" s="6">
        <v>6.809333976</v>
      </c>
      <c r="AP25" s="6">
        <v>0</v>
      </c>
      <c r="AQ25" s="6">
        <v>0</v>
      </c>
      <c r="AR25" s="6">
        <v>0.3356</v>
      </c>
      <c r="AS25" s="6">
        <v>0.0096</v>
      </c>
      <c r="AT25" s="6">
        <v>0</v>
      </c>
      <c r="AU25" s="6">
        <v>0.1356</v>
      </c>
      <c r="AV25" s="6">
        <v>0</v>
      </c>
      <c r="AW25" s="6">
        <v>0</v>
      </c>
      <c r="AX25" s="6">
        <v>0.452</v>
      </c>
      <c r="AY25" s="6">
        <v>0</v>
      </c>
      <c r="AZ25" s="6">
        <v>0</v>
      </c>
      <c r="BA25" s="6">
        <v>0.0672</v>
      </c>
      <c r="BB25" s="6">
        <v>0</v>
      </c>
      <c r="BC25" s="6">
        <v>0</v>
      </c>
      <c r="BD25" s="6">
        <v>0</v>
      </c>
      <c r="BE25" s="6">
        <v>0</v>
      </c>
      <c r="BF25" s="6">
        <v>0.2712</v>
      </c>
      <c r="BG25" s="6">
        <v>0</v>
      </c>
      <c r="BH25" s="6">
        <v>0</v>
      </c>
      <c r="BI25" s="6">
        <v>0</v>
      </c>
      <c r="BJ25" s="6">
        <v>0.7288</v>
      </c>
      <c r="BK25" s="6">
        <v>0</v>
      </c>
      <c r="BL25" s="6">
        <v>0</v>
      </c>
      <c r="BM25" s="6">
        <v>0</v>
      </c>
      <c r="BN25" s="6">
        <v>0</v>
      </c>
    </row>
    <row r="26" ht="34.2" customHeight="1" spans="1:66">
      <c r="A26" s="7">
        <v>85</v>
      </c>
      <c r="B26" s="7">
        <v>25</v>
      </c>
      <c r="C26" s="3" t="s">
        <v>91</v>
      </c>
      <c r="D26" s="6">
        <v>0.098</v>
      </c>
      <c r="E26" s="6">
        <v>3.946</v>
      </c>
      <c r="F26" s="6">
        <v>199</v>
      </c>
      <c r="G26" s="6">
        <f t="shared" si="0"/>
        <v>0.0198291457286432</v>
      </c>
      <c r="H26" s="6">
        <v>74.21</v>
      </c>
      <c r="I26" s="3" t="s">
        <v>67</v>
      </c>
      <c r="J26" s="3"/>
      <c r="K26" s="6">
        <v>1</v>
      </c>
      <c r="L26" s="6">
        <v>1</v>
      </c>
      <c r="M26" s="6">
        <v>1.352999</v>
      </c>
      <c r="N26" s="6">
        <v>0.614471</v>
      </c>
      <c r="O26" s="6">
        <v>2.20189235944414</v>
      </c>
      <c r="P26" s="6">
        <v>0.738528</v>
      </c>
      <c r="Q26" s="6">
        <v>0.966340176403524</v>
      </c>
      <c r="R26" s="6">
        <v>0.438907857142857</v>
      </c>
      <c r="S26" s="6">
        <v>0.023511695999</v>
      </c>
      <c r="T26" s="6">
        <v>0.000241785159</v>
      </c>
      <c r="U26" s="6">
        <v>0.113329899404647</v>
      </c>
      <c r="V26" s="6">
        <v>0.0253054129512675</v>
      </c>
      <c r="W26" s="6">
        <v>10.1876543529083</v>
      </c>
      <c r="X26" s="6">
        <v>4.85443808471165</v>
      </c>
      <c r="Y26" s="6">
        <v>15.0420924376199</v>
      </c>
      <c r="Z26" s="6">
        <v>1.242416</v>
      </c>
      <c r="AA26" s="6">
        <v>1.556236</v>
      </c>
      <c r="AB26" s="6">
        <v>2.197584</v>
      </c>
      <c r="AC26" s="6">
        <v>1.883764</v>
      </c>
      <c r="AD26" s="6">
        <v>0.31382</v>
      </c>
      <c r="AE26" s="6">
        <v>1.749</v>
      </c>
      <c r="AF26" s="6">
        <v>4.2706</v>
      </c>
      <c r="AG26" s="6">
        <v>0.926606173085416</v>
      </c>
      <c r="AH26" s="6">
        <v>0.444269782902236</v>
      </c>
      <c r="AI26" s="6">
        <v>0.726627359793175</v>
      </c>
      <c r="AJ26" s="6">
        <v>92.13301045528</v>
      </c>
      <c r="AK26" s="6">
        <v>60.054653522</v>
      </c>
      <c r="AL26" s="6">
        <v>143.77227</v>
      </c>
      <c r="AM26" s="6">
        <v>99.4588</v>
      </c>
      <c r="AN26" s="6">
        <v>5.798425857105</v>
      </c>
      <c r="AO26" s="6">
        <v>6.809375538</v>
      </c>
      <c r="AP26" s="6">
        <v>0</v>
      </c>
      <c r="AQ26" s="6">
        <v>0</v>
      </c>
      <c r="AR26" s="6">
        <v>0.3353</v>
      </c>
      <c r="AS26" s="6">
        <v>0.0098</v>
      </c>
      <c r="AT26" s="6">
        <v>0</v>
      </c>
      <c r="AU26" s="6">
        <v>0.1353</v>
      </c>
      <c r="AV26" s="6">
        <v>0</v>
      </c>
      <c r="AW26" s="6">
        <v>0</v>
      </c>
      <c r="AX26" s="6">
        <v>0.451</v>
      </c>
      <c r="AY26" s="6">
        <v>0</v>
      </c>
      <c r="AZ26" s="6">
        <v>0</v>
      </c>
      <c r="BA26" s="6">
        <v>0.0686</v>
      </c>
      <c r="BB26" s="6">
        <v>0</v>
      </c>
      <c r="BC26" s="6">
        <v>0</v>
      </c>
      <c r="BD26" s="6">
        <v>0</v>
      </c>
      <c r="BE26" s="6">
        <v>0</v>
      </c>
      <c r="BF26" s="6">
        <v>0.2706</v>
      </c>
      <c r="BG26" s="6">
        <v>0</v>
      </c>
      <c r="BH26" s="6">
        <v>0</v>
      </c>
      <c r="BI26" s="6">
        <v>0</v>
      </c>
      <c r="BJ26" s="6">
        <v>0.7294</v>
      </c>
      <c r="BK26" s="6">
        <v>0</v>
      </c>
      <c r="BL26" s="6">
        <v>0</v>
      </c>
      <c r="BM26" s="6">
        <v>0</v>
      </c>
      <c r="BN26" s="6">
        <v>0</v>
      </c>
    </row>
    <row r="27" ht="34.2" customHeight="1" spans="1:66">
      <c r="A27" s="7">
        <v>86</v>
      </c>
      <c r="B27" s="7">
        <v>26</v>
      </c>
      <c r="C27" s="3" t="s">
        <v>92</v>
      </c>
      <c r="D27" s="6">
        <v>0.1</v>
      </c>
      <c r="E27" s="6">
        <v>3.803</v>
      </c>
      <c r="F27" s="6">
        <v>200</v>
      </c>
      <c r="G27" s="6">
        <f t="shared" si="0"/>
        <v>0.019015</v>
      </c>
      <c r="H27" s="6">
        <v>70</v>
      </c>
      <c r="I27" s="3" t="s">
        <v>67</v>
      </c>
      <c r="J27" s="3"/>
      <c r="K27" s="6">
        <v>1</v>
      </c>
      <c r="L27" s="6">
        <v>1</v>
      </c>
      <c r="M27" s="6">
        <v>1.35305</v>
      </c>
      <c r="N27" s="6">
        <v>0.61445</v>
      </c>
      <c r="O27" s="6">
        <v>2.20205061437058</v>
      </c>
      <c r="P27" s="6">
        <v>0.7386</v>
      </c>
      <c r="Q27" s="6">
        <v>0.966368152074077</v>
      </c>
      <c r="R27" s="6">
        <v>0.438892857142857</v>
      </c>
      <c r="S27" s="6">
        <v>0.0234861975</v>
      </c>
      <c r="T27" s="6">
        <v>0.0002414475</v>
      </c>
      <c r="U27" s="6">
        <v>0.11326416005627</v>
      </c>
      <c r="V27" s="6">
        <v>0.025288601214576</v>
      </c>
      <c r="W27" s="6">
        <v>10.212051848306</v>
      </c>
      <c r="X27" s="6">
        <v>4.84948382295664</v>
      </c>
      <c r="Y27" s="6">
        <v>15.0615356712627</v>
      </c>
      <c r="Z27" s="6">
        <v>1.2422</v>
      </c>
      <c r="AA27" s="6">
        <v>1.5562</v>
      </c>
      <c r="AB27" s="6">
        <v>2.1978</v>
      </c>
      <c r="AC27" s="6">
        <v>1.8838</v>
      </c>
      <c r="AD27" s="6">
        <v>0.314</v>
      </c>
      <c r="AE27" s="6">
        <v>1.75</v>
      </c>
      <c r="AF27" s="6">
        <v>4.27</v>
      </c>
      <c r="AG27" s="6">
        <v>0.926012958872607</v>
      </c>
      <c r="AH27" s="6">
        <v>0.443959457608462</v>
      </c>
      <c r="AI27" s="6">
        <v>0.726154253585283</v>
      </c>
      <c r="AJ27" s="6">
        <v>92.166280676</v>
      </c>
      <c r="AK27" s="6">
        <v>60.0276299</v>
      </c>
      <c r="AL27" s="6">
        <v>143.8165</v>
      </c>
      <c r="AM27" s="6">
        <v>99.46</v>
      </c>
      <c r="AN27" s="6">
        <v>5.79899437175</v>
      </c>
      <c r="AO27" s="6">
        <v>6.8094171</v>
      </c>
      <c r="AP27" s="6">
        <v>0</v>
      </c>
      <c r="AQ27" s="6">
        <v>0</v>
      </c>
      <c r="AR27" s="6">
        <v>0.335</v>
      </c>
      <c r="AS27" s="6">
        <v>0.01</v>
      </c>
      <c r="AT27" s="6">
        <v>0</v>
      </c>
      <c r="AU27" s="6">
        <v>0.135</v>
      </c>
      <c r="AV27" s="6">
        <v>0</v>
      </c>
      <c r="AW27" s="6">
        <v>0</v>
      </c>
      <c r="AX27" s="6">
        <v>0.45</v>
      </c>
      <c r="AY27" s="6">
        <v>0</v>
      </c>
      <c r="AZ27" s="6">
        <v>0</v>
      </c>
      <c r="BA27" s="6">
        <v>0.07</v>
      </c>
      <c r="BB27" s="6">
        <v>0</v>
      </c>
      <c r="BC27" s="6">
        <v>0</v>
      </c>
      <c r="BD27" s="6">
        <v>0</v>
      </c>
      <c r="BE27" s="6">
        <v>0</v>
      </c>
      <c r="BF27" s="6">
        <v>0.27</v>
      </c>
      <c r="BG27" s="6">
        <v>0</v>
      </c>
      <c r="BH27" s="6">
        <v>0</v>
      </c>
      <c r="BI27" s="6">
        <v>0</v>
      </c>
      <c r="BJ27" s="6">
        <v>0.73</v>
      </c>
      <c r="BK27" s="6">
        <v>0</v>
      </c>
      <c r="BL27" s="6">
        <v>0</v>
      </c>
      <c r="BM27" s="6">
        <v>0</v>
      </c>
      <c r="BN27" s="6">
        <v>0</v>
      </c>
    </row>
    <row r="28" ht="34.2" customHeight="1" spans="1:66">
      <c r="A28" s="7">
        <v>87</v>
      </c>
      <c r="B28" s="7">
        <v>27</v>
      </c>
      <c r="C28" s="3" t="s">
        <v>93</v>
      </c>
      <c r="D28" s="6">
        <v>0.102</v>
      </c>
      <c r="E28" s="6">
        <v>3.802</v>
      </c>
      <c r="F28" s="6">
        <v>201</v>
      </c>
      <c r="G28" s="6">
        <f t="shared" si="0"/>
        <v>0.0189154228855721</v>
      </c>
      <c r="H28" s="6">
        <v>78.65</v>
      </c>
      <c r="I28" s="3" t="s">
        <v>67</v>
      </c>
      <c r="J28" s="3"/>
      <c r="K28" s="6">
        <v>1</v>
      </c>
      <c r="L28" s="6">
        <v>1</v>
      </c>
      <c r="M28" s="6">
        <v>1.353101</v>
      </c>
      <c r="N28" s="6">
        <v>0.614429</v>
      </c>
      <c r="O28" s="6">
        <v>2.20220888011471</v>
      </c>
      <c r="P28" s="6">
        <v>0.738672</v>
      </c>
      <c r="Q28" s="6">
        <v>0.966396128327911</v>
      </c>
      <c r="R28" s="6">
        <v>0.438877857142857</v>
      </c>
      <c r="S28" s="6">
        <v>0.023460693799</v>
      </c>
      <c r="T28" s="6">
        <v>0.000241108959</v>
      </c>
      <c r="U28" s="6">
        <v>0.113198379738689</v>
      </c>
      <c r="V28" s="6">
        <v>0.0252717297406039</v>
      </c>
      <c r="W28" s="6">
        <v>10.2361570098447</v>
      </c>
      <c r="X28" s="6">
        <v>4.84451437495894</v>
      </c>
      <c r="Y28" s="6">
        <v>15.0806713848036</v>
      </c>
      <c r="Z28" s="6">
        <v>1.241984</v>
      </c>
      <c r="AA28" s="6">
        <v>1.556164</v>
      </c>
      <c r="AB28" s="6">
        <v>2.198016</v>
      </c>
      <c r="AC28" s="6">
        <v>1.883836</v>
      </c>
      <c r="AD28" s="6">
        <v>0.31418</v>
      </c>
      <c r="AE28" s="6">
        <v>1.751</v>
      </c>
      <c r="AF28" s="6">
        <v>4.2694</v>
      </c>
      <c r="AG28" s="6">
        <v>0.92541828380468</v>
      </c>
      <c r="AH28" s="6">
        <v>0.443648103793987</v>
      </c>
      <c r="AI28" s="6">
        <v>0.725679901885122</v>
      </c>
      <c r="AJ28" s="6">
        <v>92.19955089672</v>
      </c>
      <c r="AK28" s="6">
        <v>60.000606278</v>
      </c>
      <c r="AL28" s="6">
        <v>143.86073</v>
      </c>
      <c r="AM28" s="6">
        <v>99.4612</v>
      </c>
      <c r="AN28" s="6">
        <v>5.799562886395</v>
      </c>
      <c r="AO28" s="6">
        <v>6.809458662</v>
      </c>
      <c r="AP28" s="6">
        <v>0</v>
      </c>
      <c r="AQ28" s="6">
        <v>0</v>
      </c>
      <c r="AR28" s="6">
        <v>0.3347</v>
      </c>
      <c r="AS28" s="6">
        <v>0.0102</v>
      </c>
      <c r="AT28" s="6">
        <v>0</v>
      </c>
      <c r="AU28" s="6">
        <v>0.1347</v>
      </c>
      <c r="AV28" s="6">
        <v>0</v>
      </c>
      <c r="AW28" s="6">
        <v>0</v>
      </c>
      <c r="AX28" s="6">
        <v>0.449</v>
      </c>
      <c r="AY28" s="6">
        <v>0</v>
      </c>
      <c r="AZ28" s="6">
        <v>0</v>
      </c>
      <c r="BA28" s="6">
        <v>0.0714</v>
      </c>
      <c r="BB28" s="6">
        <v>0</v>
      </c>
      <c r="BC28" s="6">
        <v>0</v>
      </c>
      <c r="BD28" s="6">
        <v>0</v>
      </c>
      <c r="BE28" s="6">
        <v>0</v>
      </c>
      <c r="BF28" s="6">
        <v>0.2694</v>
      </c>
      <c r="BG28" s="6">
        <v>0</v>
      </c>
      <c r="BH28" s="6">
        <v>0</v>
      </c>
      <c r="BI28" s="6">
        <v>0</v>
      </c>
      <c r="BJ28" s="6">
        <v>0.7306</v>
      </c>
      <c r="BK28" s="6">
        <v>0</v>
      </c>
      <c r="BL28" s="6">
        <v>0</v>
      </c>
      <c r="BM28" s="6">
        <v>0</v>
      </c>
      <c r="BN28" s="6">
        <v>0</v>
      </c>
    </row>
    <row r="29" ht="34.2" customHeight="1" spans="1:66">
      <c r="A29" s="7">
        <v>88</v>
      </c>
      <c r="B29" s="7">
        <v>28</v>
      </c>
      <c r="C29" s="3" t="s">
        <v>94</v>
      </c>
      <c r="D29" s="6">
        <v>0.104</v>
      </c>
      <c r="E29" s="6">
        <v>3.806</v>
      </c>
      <c r="F29" s="6">
        <v>202</v>
      </c>
      <c r="G29" s="6">
        <f t="shared" si="0"/>
        <v>0.0188415841584158</v>
      </c>
      <c r="H29" s="6">
        <v>78.32</v>
      </c>
      <c r="I29" s="3" t="s">
        <v>67</v>
      </c>
      <c r="J29" s="3"/>
      <c r="K29" s="6">
        <v>1</v>
      </c>
      <c r="L29" s="6">
        <v>1</v>
      </c>
      <c r="M29" s="6">
        <v>1.353152</v>
      </c>
      <c r="N29" s="6">
        <v>0.614408</v>
      </c>
      <c r="O29" s="6">
        <v>2.20236715667765</v>
      </c>
      <c r="P29" s="6">
        <v>0.738744</v>
      </c>
      <c r="Q29" s="6">
        <v>0.966424105165044</v>
      </c>
      <c r="R29" s="6">
        <v>0.438862857142857</v>
      </c>
      <c r="S29" s="6">
        <v>0.023435184896</v>
      </c>
      <c r="T29" s="6">
        <v>0.000240769536</v>
      </c>
      <c r="U29" s="6">
        <v>0.113132558381631</v>
      </c>
      <c r="V29" s="6">
        <v>0.025254798399783</v>
      </c>
      <c r="W29" s="6">
        <v>10.2599749999673</v>
      </c>
      <c r="X29" s="6">
        <v>4.83952971939553</v>
      </c>
      <c r="Y29" s="6">
        <v>15.0995047193629</v>
      </c>
      <c r="Z29" s="6">
        <v>1.241768</v>
      </c>
      <c r="AA29" s="6">
        <v>1.556128</v>
      </c>
      <c r="AB29" s="6">
        <v>2.198232</v>
      </c>
      <c r="AC29" s="6">
        <v>1.883872</v>
      </c>
      <c r="AD29" s="6">
        <v>0.31436</v>
      </c>
      <c r="AE29" s="6">
        <v>1.752</v>
      </c>
      <c r="AF29" s="6">
        <v>4.2688</v>
      </c>
      <c r="AG29" s="6">
        <v>0.924822145063579</v>
      </c>
      <c r="AH29" s="6">
        <v>0.443335719291825</v>
      </c>
      <c r="AI29" s="6">
        <v>0.725204302248683</v>
      </c>
      <c r="AJ29" s="6">
        <v>92.23282111744</v>
      </c>
      <c r="AK29" s="6">
        <v>59.973582656</v>
      </c>
      <c r="AL29" s="6">
        <v>143.90496</v>
      </c>
      <c r="AM29" s="6">
        <v>99.4624</v>
      </c>
      <c r="AN29" s="6">
        <v>5.80013140104</v>
      </c>
      <c r="AO29" s="6">
        <v>6.809500224</v>
      </c>
      <c r="AP29" s="6">
        <v>0</v>
      </c>
      <c r="AQ29" s="6">
        <v>0</v>
      </c>
      <c r="AR29" s="6">
        <v>0.3344</v>
      </c>
      <c r="AS29" s="6">
        <v>0.0104</v>
      </c>
      <c r="AT29" s="6">
        <v>0</v>
      </c>
      <c r="AU29" s="6">
        <v>0.1344</v>
      </c>
      <c r="AV29" s="6">
        <v>0</v>
      </c>
      <c r="AW29" s="6">
        <v>0</v>
      </c>
      <c r="AX29" s="6">
        <v>0.448</v>
      </c>
      <c r="AY29" s="6">
        <v>0</v>
      </c>
      <c r="AZ29" s="6">
        <v>0</v>
      </c>
      <c r="BA29" s="6">
        <v>0.0728</v>
      </c>
      <c r="BB29" s="6">
        <v>0</v>
      </c>
      <c r="BC29" s="6">
        <v>0</v>
      </c>
      <c r="BD29" s="6">
        <v>0</v>
      </c>
      <c r="BE29" s="6">
        <v>0</v>
      </c>
      <c r="BF29" s="6">
        <v>0.2688</v>
      </c>
      <c r="BG29" s="6">
        <v>0</v>
      </c>
      <c r="BH29" s="6">
        <v>0</v>
      </c>
      <c r="BI29" s="6">
        <v>0</v>
      </c>
      <c r="BJ29" s="6">
        <v>0.7312</v>
      </c>
      <c r="BK29" s="6">
        <v>0</v>
      </c>
      <c r="BL29" s="6">
        <v>0</v>
      </c>
      <c r="BM29" s="6">
        <v>0</v>
      </c>
      <c r="BN29" s="6">
        <v>0</v>
      </c>
    </row>
    <row r="30" ht="34.2" customHeight="1" spans="1:66">
      <c r="A30" s="7">
        <v>89</v>
      </c>
      <c r="B30" s="7">
        <v>29</v>
      </c>
      <c r="C30" s="3" t="s">
        <v>95</v>
      </c>
      <c r="D30" s="6">
        <v>0.106</v>
      </c>
      <c r="E30" s="6">
        <v>3.852</v>
      </c>
      <c r="F30" s="6">
        <v>203</v>
      </c>
      <c r="G30" s="6">
        <f t="shared" si="0"/>
        <v>0.0189753694581281</v>
      </c>
      <c r="H30" s="6">
        <v>78.54</v>
      </c>
      <c r="I30" s="3" t="s">
        <v>67</v>
      </c>
      <c r="J30" s="3"/>
      <c r="K30" s="6">
        <v>1</v>
      </c>
      <c r="L30" s="6">
        <v>1</v>
      </c>
      <c r="M30" s="6">
        <v>1.353203</v>
      </c>
      <c r="N30" s="6">
        <v>0.614387</v>
      </c>
      <c r="O30" s="6">
        <v>2.2025254440605</v>
      </c>
      <c r="P30" s="6">
        <v>0.738816</v>
      </c>
      <c r="Q30" s="6">
        <v>0.966452082585494</v>
      </c>
      <c r="R30" s="6">
        <v>0.438847857142857</v>
      </c>
      <c r="S30" s="6">
        <v>0.023409670791</v>
      </c>
      <c r="T30" s="6">
        <v>0.000240429231</v>
      </c>
      <c r="U30" s="6">
        <v>0.113066695914617</v>
      </c>
      <c r="V30" s="6">
        <v>0.0252378070617696</v>
      </c>
      <c r="W30" s="6">
        <v>10.2835107801467</v>
      </c>
      <c r="X30" s="6">
        <v>4.83452983482759</v>
      </c>
      <c r="Y30" s="6">
        <v>15.1180406149743</v>
      </c>
      <c r="Z30" s="6">
        <v>1.241552</v>
      </c>
      <c r="AA30" s="6">
        <v>1.556092</v>
      </c>
      <c r="AB30" s="6">
        <v>2.198448</v>
      </c>
      <c r="AC30" s="6">
        <v>1.883908</v>
      </c>
      <c r="AD30" s="6">
        <v>0.31454</v>
      </c>
      <c r="AE30" s="6">
        <v>1.753</v>
      </c>
      <c r="AF30" s="6">
        <v>4.2682</v>
      </c>
      <c r="AG30" s="6">
        <v>0.924224539817029</v>
      </c>
      <c r="AH30" s="6">
        <v>0.443022301921698</v>
      </c>
      <c r="AI30" s="6">
        <v>0.724727452219108</v>
      </c>
      <c r="AJ30" s="6">
        <v>92.26609133816</v>
      </c>
      <c r="AK30" s="6">
        <v>59.946559034</v>
      </c>
      <c r="AL30" s="6">
        <v>143.94919</v>
      </c>
      <c r="AM30" s="6">
        <v>99.4636</v>
      </c>
      <c r="AN30" s="6">
        <v>5.800699915685</v>
      </c>
      <c r="AO30" s="6">
        <v>6.809541786</v>
      </c>
      <c r="AP30" s="6">
        <v>0</v>
      </c>
      <c r="AQ30" s="6">
        <v>0</v>
      </c>
      <c r="AR30" s="6">
        <v>0.3341</v>
      </c>
      <c r="AS30" s="6">
        <v>0.0106</v>
      </c>
      <c r="AT30" s="6">
        <v>0</v>
      </c>
      <c r="AU30" s="6">
        <v>0.1341</v>
      </c>
      <c r="AV30" s="6">
        <v>0</v>
      </c>
      <c r="AW30" s="6">
        <v>0</v>
      </c>
      <c r="AX30" s="6">
        <v>0.447</v>
      </c>
      <c r="AY30" s="6">
        <v>0</v>
      </c>
      <c r="AZ30" s="6">
        <v>0</v>
      </c>
      <c r="BA30" s="6">
        <v>0.0742</v>
      </c>
      <c r="BB30" s="6">
        <v>0</v>
      </c>
      <c r="BC30" s="6">
        <v>0</v>
      </c>
      <c r="BD30" s="6">
        <v>0</v>
      </c>
      <c r="BE30" s="6">
        <v>0</v>
      </c>
      <c r="BF30" s="6">
        <v>0.2682</v>
      </c>
      <c r="BG30" s="6">
        <v>0</v>
      </c>
      <c r="BH30" s="6">
        <v>0</v>
      </c>
      <c r="BI30" s="6">
        <v>0</v>
      </c>
      <c r="BJ30" s="6">
        <v>0.7318</v>
      </c>
      <c r="BK30" s="6">
        <v>0</v>
      </c>
      <c r="BL30" s="6">
        <v>0</v>
      </c>
      <c r="BM30" s="6">
        <v>0</v>
      </c>
      <c r="BN30" s="6">
        <v>0</v>
      </c>
    </row>
    <row r="31" ht="34.2" customHeight="1" spans="1:66">
      <c r="A31" s="7">
        <v>90</v>
      </c>
      <c r="B31" s="7">
        <v>30</v>
      </c>
      <c r="C31" s="3" t="s">
        <v>96</v>
      </c>
      <c r="D31" s="6">
        <v>0.108</v>
      </c>
      <c r="E31" s="6">
        <v>3.793</v>
      </c>
      <c r="F31" s="6">
        <v>204</v>
      </c>
      <c r="G31" s="6">
        <f t="shared" si="0"/>
        <v>0.018593137254902</v>
      </c>
      <c r="H31" s="6">
        <v>78.33</v>
      </c>
      <c r="I31" s="3" t="s">
        <v>67</v>
      </c>
      <c r="J31" s="3"/>
      <c r="K31" s="6">
        <v>1</v>
      </c>
      <c r="L31" s="6">
        <v>1</v>
      </c>
      <c r="M31" s="6">
        <v>1.353254</v>
      </c>
      <c r="N31" s="6">
        <v>0.614366</v>
      </c>
      <c r="O31" s="6">
        <v>2.20268374226438</v>
      </c>
      <c r="P31" s="6">
        <v>0.738888</v>
      </c>
      <c r="Q31" s="6">
        <v>0.966480060589281</v>
      </c>
      <c r="R31" s="6">
        <v>0.438832857142857</v>
      </c>
      <c r="S31" s="6">
        <v>0.023384151484</v>
      </c>
      <c r="T31" s="6">
        <v>0.000240088044</v>
      </c>
      <c r="U31" s="6">
        <v>0.113000792266958</v>
      </c>
      <c r="V31" s="6">
        <v>0.0252207555954393</v>
      </c>
      <c r="W31" s="6">
        <v>10.3067691222484</v>
      </c>
      <c r="X31" s="6">
        <v>4.82951469969986</v>
      </c>
      <c r="Y31" s="6">
        <v>15.1362838219483</v>
      </c>
      <c r="Z31" s="6">
        <v>1.241336</v>
      </c>
      <c r="AA31" s="6">
        <v>1.556056</v>
      </c>
      <c r="AB31" s="6">
        <v>2.198664</v>
      </c>
      <c r="AC31" s="6">
        <v>1.883944</v>
      </c>
      <c r="AD31" s="6">
        <v>0.31472</v>
      </c>
      <c r="AE31" s="6">
        <v>1.754</v>
      </c>
      <c r="AF31" s="6">
        <v>4.2676</v>
      </c>
      <c r="AG31" s="6">
        <v>0.923625465218451</v>
      </c>
      <c r="AH31" s="6">
        <v>0.442707849489932</v>
      </c>
      <c r="AI31" s="6">
        <v>0.724249349326597</v>
      </c>
      <c r="AJ31" s="6">
        <v>92.29936155888</v>
      </c>
      <c r="AK31" s="6">
        <v>59.919535412</v>
      </c>
      <c r="AL31" s="6">
        <v>143.99342</v>
      </c>
      <c r="AM31" s="6">
        <v>99.4648</v>
      </c>
      <c r="AN31" s="6">
        <v>5.80126843033</v>
      </c>
      <c r="AO31" s="6">
        <v>6.809583348</v>
      </c>
      <c r="AP31" s="6">
        <v>0</v>
      </c>
      <c r="AQ31" s="6">
        <v>0</v>
      </c>
      <c r="AR31" s="6">
        <v>0.3338</v>
      </c>
      <c r="AS31" s="6">
        <v>0.0108</v>
      </c>
      <c r="AT31" s="6">
        <v>0</v>
      </c>
      <c r="AU31" s="6">
        <v>0.1338</v>
      </c>
      <c r="AV31" s="6">
        <v>0</v>
      </c>
      <c r="AW31" s="6">
        <v>0</v>
      </c>
      <c r="AX31" s="6">
        <v>0.446</v>
      </c>
      <c r="AY31" s="6">
        <v>0</v>
      </c>
      <c r="AZ31" s="6">
        <v>0</v>
      </c>
      <c r="BA31" s="6">
        <v>0.0756</v>
      </c>
      <c r="BB31" s="6">
        <v>0</v>
      </c>
      <c r="BC31" s="6">
        <v>0</v>
      </c>
      <c r="BD31" s="6">
        <v>0</v>
      </c>
      <c r="BE31" s="6">
        <v>0</v>
      </c>
      <c r="BF31" s="6">
        <v>0.2676</v>
      </c>
      <c r="BG31" s="6">
        <v>0</v>
      </c>
      <c r="BH31" s="6">
        <v>0</v>
      </c>
      <c r="BI31" s="6">
        <v>0</v>
      </c>
      <c r="BJ31" s="6">
        <v>0.7324</v>
      </c>
      <c r="BK31" s="6">
        <v>0</v>
      </c>
      <c r="BL31" s="6">
        <v>0</v>
      </c>
      <c r="BM31" s="6">
        <v>0</v>
      </c>
      <c r="BN31" s="6">
        <v>0</v>
      </c>
    </row>
    <row r="32" ht="34.2" customHeight="1" spans="1:66">
      <c r="A32" s="7">
        <v>91</v>
      </c>
      <c r="B32" s="7">
        <v>31</v>
      </c>
      <c r="C32" s="3" t="s">
        <v>97</v>
      </c>
      <c r="D32" s="6">
        <v>0.11</v>
      </c>
      <c r="E32" s="6">
        <v>4.055</v>
      </c>
      <c r="F32" s="6">
        <v>205</v>
      </c>
      <c r="G32" s="6">
        <f t="shared" si="0"/>
        <v>0.019780487804878</v>
      </c>
      <c r="H32" s="6">
        <v>78.52</v>
      </c>
      <c r="I32" s="3" t="s">
        <v>67</v>
      </c>
      <c r="J32" s="3"/>
      <c r="K32" s="6">
        <v>1</v>
      </c>
      <c r="L32" s="6">
        <v>1</v>
      </c>
      <c r="M32" s="6">
        <v>1.353305</v>
      </c>
      <c r="N32" s="6">
        <v>0.614345</v>
      </c>
      <c r="O32" s="6">
        <v>2.2028420512904</v>
      </c>
      <c r="P32" s="6">
        <v>0.73896</v>
      </c>
      <c r="Q32" s="6">
        <v>0.966508039176421</v>
      </c>
      <c r="R32" s="6">
        <v>0.438817857142857</v>
      </c>
      <c r="S32" s="6">
        <v>0.023358626975</v>
      </c>
      <c r="T32" s="6">
        <v>0.000239745975</v>
      </c>
      <c r="U32" s="6">
        <v>0.112934847367754</v>
      </c>
      <c r="V32" s="6">
        <v>0.025203643868881</v>
      </c>
      <c r="W32" s="6">
        <v>10.3297546190519</v>
      </c>
      <c r="X32" s="6">
        <v>4.82448429233986</v>
      </c>
      <c r="Y32" s="6">
        <v>15.1542389113917</v>
      </c>
      <c r="Z32" s="6">
        <v>1.24112</v>
      </c>
      <c r="AA32" s="6">
        <v>1.55602</v>
      </c>
      <c r="AB32" s="6">
        <v>2.19888</v>
      </c>
      <c r="AC32" s="6">
        <v>1.88398</v>
      </c>
      <c r="AD32" s="6">
        <v>0.3149</v>
      </c>
      <c r="AE32" s="6">
        <v>1.755</v>
      </c>
      <c r="AF32" s="6">
        <v>4.267</v>
      </c>
      <c r="AG32" s="6">
        <v>0.923024918406865</v>
      </c>
      <c r="AH32" s="6">
        <v>0.442392359789362</v>
      </c>
      <c r="AI32" s="6">
        <v>0.723769991088329</v>
      </c>
      <c r="AJ32" s="6">
        <v>92.3326317796</v>
      </c>
      <c r="AK32" s="6">
        <v>59.89251179</v>
      </c>
      <c r="AL32" s="6">
        <v>144.03765</v>
      </c>
      <c r="AM32" s="6">
        <v>99.466</v>
      </c>
      <c r="AN32" s="6">
        <v>5.801836944975</v>
      </c>
      <c r="AO32" s="6">
        <v>6.80962491</v>
      </c>
      <c r="AP32" s="6">
        <v>0</v>
      </c>
      <c r="AQ32" s="6">
        <v>0</v>
      </c>
      <c r="AR32" s="6">
        <v>0.3335</v>
      </c>
      <c r="AS32" s="6">
        <v>0.011</v>
      </c>
      <c r="AT32" s="6">
        <v>0</v>
      </c>
      <c r="AU32" s="6">
        <v>0.1335</v>
      </c>
      <c r="AV32" s="6">
        <v>0</v>
      </c>
      <c r="AW32" s="6">
        <v>0</v>
      </c>
      <c r="AX32" s="6">
        <v>0.445</v>
      </c>
      <c r="AY32" s="6">
        <v>0</v>
      </c>
      <c r="AZ32" s="6">
        <v>0</v>
      </c>
      <c r="BA32" s="6">
        <v>0.077</v>
      </c>
      <c r="BB32" s="6">
        <v>0</v>
      </c>
      <c r="BC32" s="6">
        <v>0</v>
      </c>
      <c r="BD32" s="6">
        <v>0</v>
      </c>
      <c r="BE32" s="6">
        <v>0</v>
      </c>
      <c r="BF32" s="6">
        <v>0.267</v>
      </c>
      <c r="BG32" s="6">
        <v>0</v>
      </c>
      <c r="BH32" s="6">
        <v>0</v>
      </c>
      <c r="BI32" s="6">
        <v>0</v>
      </c>
      <c r="BJ32" s="6">
        <v>0.733</v>
      </c>
      <c r="BK32" s="6">
        <v>0</v>
      </c>
      <c r="BL32" s="6">
        <v>0</v>
      </c>
      <c r="BM32" s="6">
        <v>0</v>
      </c>
      <c r="BN32" s="6">
        <v>0</v>
      </c>
    </row>
    <row r="33" ht="34.2" customHeight="1" spans="1:66">
      <c r="A33" s="7">
        <v>92</v>
      </c>
      <c r="B33" s="7">
        <v>32</v>
      </c>
      <c r="C33" s="3" t="s">
        <v>98</v>
      </c>
      <c r="D33" s="6">
        <v>0.112</v>
      </c>
      <c r="E33" s="6">
        <v>4.148</v>
      </c>
      <c r="F33" s="6">
        <v>224</v>
      </c>
      <c r="G33" s="6">
        <f t="shared" si="0"/>
        <v>0.0185178571428571</v>
      </c>
      <c r="H33" s="6">
        <v>78.96</v>
      </c>
      <c r="I33" s="3" t="s">
        <v>67</v>
      </c>
      <c r="J33" s="3"/>
      <c r="K33" s="6">
        <v>1</v>
      </c>
      <c r="L33" s="6">
        <v>1</v>
      </c>
      <c r="M33" s="6">
        <v>1.353356</v>
      </c>
      <c r="N33" s="6">
        <v>0.614324</v>
      </c>
      <c r="O33" s="6">
        <v>2.20300037113966</v>
      </c>
      <c r="P33" s="6">
        <v>0.739032</v>
      </c>
      <c r="Q33" s="6">
        <v>0.966536018346933</v>
      </c>
      <c r="R33" s="6">
        <v>0.438802857142857</v>
      </c>
      <c r="S33" s="6">
        <v>0.023333097264</v>
      </c>
      <c r="T33" s="6">
        <v>0.000239403024</v>
      </c>
      <c r="U33" s="6">
        <v>0.112868861145894</v>
      </c>
      <c r="V33" s="6">
        <v>0.0251864717493914</v>
      </c>
      <c r="W33" s="6">
        <v>10.3524716940058</v>
      </c>
      <c r="X33" s="6">
        <v>4.81943859095715</v>
      </c>
      <c r="Y33" s="6">
        <v>15.171910284963</v>
      </c>
      <c r="Z33" s="6">
        <v>1.240904</v>
      </c>
      <c r="AA33" s="6">
        <v>1.555984</v>
      </c>
      <c r="AB33" s="6">
        <v>2.199096</v>
      </c>
      <c r="AC33" s="6">
        <v>1.884016</v>
      </c>
      <c r="AD33" s="6">
        <v>0.31508</v>
      </c>
      <c r="AE33" s="6">
        <v>1.756</v>
      </c>
      <c r="AF33" s="6">
        <v>4.2664</v>
      </c>
      <c r="AG33" s="6">
        <v>0.922422896506803</v>
      </c>
      <c r="AH33" s="6">
        <v>0.442075830599231</v>
      </c>
      <c r="AI33" s="6">
        <v>0.723289375008371</v>
      </c>
      <c r="AJ33" s="6">
        <v>92.36590200032</v>
      </c>
      <c r="AK33" s="6">
        <v>59.865488168</v>
      </c>
      <c r="AL33" s="6">
        <v>144.08188</v>
      </c>
      <c r="AM33" s="6">
        <v>99.4672</v>
      </c>
      <c r="AN33" s="6">
        <v>5.80240545962</v>
      </c>
      <c r="AO33" s="6">
        <v>6.809666472</v>
      </c>
      <c r="AP33" s="6">
        <v>0</v>
      </c>
      <c r="AQ33" s="6">
        <v>0</v>
      </c>
      <c r="AR33" s="6">
        <v>0.3332</v>
      </c>
      <c r="AS33" s="6">
        <v>0.0112</v>
      </c>
      <c r="AT33" s="6">
        <v>0</v>
      </c>
      <c r="AU33" s="6">
        <v>0.1332</v>
      </c>
      <c r="AV33" s="6">
        <v>0</v>
      </c>
      <c r="AW33" s="6">
        <v>0</v>
      </c>
      <c r="AX33" s="6">
        <v>0.444</v>
      </c>
      <c r="AY33" s="6">
        <v>0</v>
      </c>
      <c r="AZ33" s="6">
        <v>0</v>
      </c>
      <c r="BA33" s="6">
        <v>0.0784</v>
      </c>
      <c r="BB33" s="6">
        <v>0</v>
      </c>
      <c r="BC33" s="6">
        <v>0</v>
      </c>
      <c r="BD33" s="6">
        <v>0</v>
      </c>
      <c r="BE33" s="6">
        <v>0</v>
      </c>
      <c r="BF33" s="6">
        <v>0.2664</v>
      </c>
      <c r="BG33" s="6">
        <v>0</v>
      </c>
      <c r="BH33" s="6">
        <v>0</v>
      </c>
      <c r="BI33" s="6">
        <v>0</v>
      </c>
      <c r="BJ33" s="6">
        <v>0.7336</v>
      </c>
      <c r="BK33" s="6">
        <v>0</v>
      </c>
      <c r="BL33" s="6">
        <v>0</v>
      </c>
      <c r="BM33" s="6">
        <v>0</v>
      </c>
      <c r="BN33" s="6">
        <v>0</v>
      </c>
    </row>
    <row r="34" ht="34.2" customHeight="1" spans="1:66">
      <c r="A34" s="7">
        <v>93</v>
      </c>
      <c r="B34" s="7">
        <v>33</v>
      </c>
      <c r="C34" s="3" t="s">
        <v>99</v>
      </c>
      <c r="D34" s="6">
        <v>0.114</v>
      </c>
      <c r="E34" s="6">
        <v>4.199</v>
      </c>
      <c r="F34" s="6">
        <v>216</v>
      </c>
      <c r="G34" s="6">
        <f t="shared" si="0"/>
        <v>0.0194398148148148</v>
      </c>
      <c r="H34" s="6">
        <v>78.54</v>
      </c>
      <c r="I34" s="3" t="s">
        <v>67</v>
      </c>
      <c r="J34" s="3"/>
      <c r="K34" s="6">
        <v>1</v>
      </c>
      <c r="L34" s="6">
        <v>1</v>
      </c>
      <c r="M34" s="6">
        <v>1.353407</v>
      </c>
      <c r="N34" s="6">
        <v>0.614303</v>
      </c>
      <c r="O34" s="6">
        <v>2.20315870181327</v>
      </c>
      <c r="P34" s="6">
        <v>0.739104</v>
      </c>
      <c r="Q34" s="6">
        <v>0.966563998100836</v>
      </c>
      <c r="R34" s="6">
        <v>0.438787857142857</v>
      </c>
      <c r="S34" s="6">
        <v>0.023307562351</v>
      </c>
      <c r="T34" s="6">
        <v>0.000239059191</v>
      </c>
      <c r="U34" s="6">
        <v>0.112802833530056</v>
      </c>
      <c r="V34" s="6">
        <v>0.0251692391034687</v>
      </c>
      <c r="W34" s="6">
        <v>10.3749246102867</v>
      </c>
      <c r="X34" s="6">
        <v>4.8143775736426</v>
      </c>
      <c r="Y34" s="6">
        <v>15.1893021839293</v>
      </c>
      <c r="Z34" s="6">
        <v>1.240688</v>
      </c>
      <c r="AA34" s="6">
        <v>1.555948</v>
      </c>
      <c r="AB34" s="6">
        <v>2.199312</v>
      </c>
      <c r="AC34" s="6">
        <v>1.884052</v>
      </c>
      <c r="AD34" s="6">
        <v>0.31526</v>
      </c>
      <c r="AE34" s="6">
        <v>1.757</v>
      </c>
      <c r="AF34" s="6">
        <v>4.2658</v>
      </c>
      <c r="AG34" s="6">
        <v>0.921819396628212</v>
      </c>
      <c r="AH34" s="6">
        <v>0.441758259685091</v>
      </c>
      <c r="AI34" s="6">
        <v>0.722807498577595</v>
      </c>
      <c r="AJ34" s="6">
        <v>92.39917222104</v>
      </c>
      <c r="AK34" s="6">
        <v>59.838464546</v>
      </c>
      <c r="AL34" s="6">
        <v>144.12611</v>
      </c>
      <c r="AM34" s="6">
        <v>99.4684</v>
      </c>
      <c r="AN34" s="6">
        <v>5.802973974265</v>
      </c>
      <c r="AO34" s="6">
        <v>6.809708034</v>
      </c>
      <c r="AP34" s="6">
        <v>0</v>
      </c>
      <c r="AQ34" s="6">
        <v>0</v>
      </c>
      <c r="AR34" s="6">
        <v>0.3329</v>
      </c>
      <c r="AS34" s="6">
        <v>0.0114</v>
      </c>
      <c r="AT34" s="6">
        <v>0</v>
      </c>
      <c r="AU34" s="6">
        <v>0.1329</v>
      </c>
      <c r="AV34" s="6">
        <v>0</v>
      </c>
      <c r="AW34" s="6">
        <v>0</v>
      </c>
      <c r="AX34" s="6">
        <v>0.443</v>
      </c>
      <c r="AY34" s="6">
        <v>0</v>
      </c>
      <c r="AZ34" s="6">
        <v>0</v>
      </c>
      <c r="BA34" s="6">
        <v>0.0798</v>
      </c>
      <c r="BB34" s="6">
        <v>0</v>
      </c>
      <c r="BC34" s="6">
        <v>0</v>
      </c>
      <c r="BD34" s="6">
        <v>0</v>
      </c>
      <c r="BE34" s="6">
        <v>0</v>
      </c>
      <c r="BF34" s="6">
        <v>0.2658</v>
      </c>
      <c r="BG34" s="6">
        <v>0</v>
      </c>
      <c r="BH34" s="6">
        <v>0</v>
      </c>
      <c r="BI34" s="6">
        <v>0</v>
      </c>
      <c r="BJ34" s="6">
        <v>0.7342</v>
      </c>
      <c r="BK34" s="6">
        <v>0</v>
      </c>
      <c r="BL34" s="6">
        <v>0</v>
      </c>
      <c r="BM34" s="6">
        <v>0</v>
      </c>
      <c r="BN34" s="6">
        <v>0</v>
      </c>
    </row>
    <row r="35" ht="34.2" customHeight="1" spans="1:66">
      <c r="A35" s="7">
        <v>94</v>
      </c>
      <c r="B35" s="7">
        <v>34</v>
      </c>
      <c r="C35" s="3" t="s">
        <v>100</v>
      </c>
      <c r="D35" s="6">
        <v>0.116</v>
      </c>
      <c r="E35" s="6">
        <v>4.217</v>
      </c>
      <c r="F35" s="6">
        <v>217</v>
      </c>
      <c r="G35" s="6">
        <f t="shared" ref="G35:G66" si="1">E35/F35</f>
        <v>0.0194331797235023</v>
      </c>
      <c r="H35" s="6">
        <v>79.1</v>
      </c>
      <c r="I35" s="3" t="s">
        <v>67</v>
      </c>
      <c r="J35" s="3"/>
      <c r="K35" s="6">
        <v>1</v>
      </c>
      <c r="L35" s="6">
        <v>1</v>
      </c>
      <c r="M35" s="6">
        <v>1.353458</v>
      </c>
      <c r="N35" s="6">
        <v>0.614282</v>
      </c>
      <c r="O35" s="6">
        <v>2.20331704331236</v>
      </c>
      <c r="P35" s="6">
        <v>0.739176</v>
      </c>
      <c r="Q35" s="6">
        <v>0.966591978438148</v>
      </c>
      <c r="R35" s="6">
        <v>0.438772857142857</v>
      </c>
      <c r="S35" s="6">
        <v>0.023282022236</v>
      </c>
      <c r="T35" s="6">
        <v>0.000238714476</v>
      </c>
      <c r="U35" s="6">
        <v>0.112736764448703</v>
      </c>
      <c r="V35" s="6">
        <v>0.0251519457968074</v>
      </c>
      <c r="W35" s="6">
        <v>10.3971174792211</v>
      </c>
      <c r="X35" s="6">
        <v>4.80930121836763</v>
      </c>
      <c r="Y35" s="6">
        <v>15.2064186975887</v>
      </c>
      <c r="Z35" s="6">
        <v>1.240472</v>
      </c>
      <c r="AA35" s="6">
        <v>1.555912</v>
      </c>
      <c r="AB35" s="6">
        <v>2.199528</v>
      </c>
      <c r="AC35" s="6">
        <v>1.884088</v>
      </c>
      <c r="AD35" s="6">
        <v>0.31544</v>
      </c>
      <c r="AE35" s="6">
        <v>1.758</v>
      </c>
      <c r="AF35" s="6">
        <v>4.2652</v>
      </c>
      <c r="AG35" s="6">
        <v>0.921214415866361</v>
      </c>
      <c r="AH35" s="6">
        <v>0.441439644798697</v>
      </c>
      <c r="AI35" s="6">
        <v>0.722324359273588</v>
      </c>
      <c r="AJ35" s="6">
        <v>92.43244244176</v>
      </c>
      <c r="AK35" s="6">
        <v>59.811440924</v>
      </c>
      <c r="AL35" s="6">
        <v>144.17034</v>
      </c>
      <c r="AM35" s="6">
        <v>99.4696</v>
      </c>
      <c r="AN35" s="6">
        <v>5.80354248891</v>
      </c>
      <c r="AO35" s="6">
        <v>6.809749596</v>
      </c>
      <c r="AP35" s="6">
        <v>0</v>
      </c>
      <c r="AQ35" s="6">
        <v>0</v>
      </c>
      <c r="AR35" s="6">
        <v>0.3326</v>
      </c>
      <c r="AS35" s="6">
        <v>0.0116</v>
      </c>
      <c r="AT35" s="6">
        <v>0</v>
      </c>
      <c r="AU35" s="6">
        <v>0.1326</v>
      </c>
      <c r="AV35" s="6">
        <v>0</v>
      </c>
      <c r="AW35" s="6">
        <v>0</v>
      </c>
      <c r="AX35" s="6">
        <v>0.442</v>
      </c>
      <c r="AY35" s="6">
        <v>0</v>
      </c>
      <c r="AZ35" s="6">
        <v>0</v>
      </c>
      <c r="BA35" s="6">
        <v>0.0812</v>
      </c>
      <c r="BB35" s="6">
        <v>0</v>
      </c>
      <c r="BC35" s="6">
        <v>0</v>
      </c>
      <c r="BD35" s="6">
        <v>0</v>
      </c>
      <c r="BE35" s="6">
        <v>0</v>
      </c>
      <c r="BF35" s="6">
        <v>0.2652</v>
      </c>
      <c r="BG35" s="6">
        <v>0</v>
      </c>
      <c r="BH35" s="6">
        <v>0</v>
      </c>
      <c r="BI35" s="6">
        <v>0</v>
      </c>
      <c r="BJ35" s="6">
        <v>0.7348</v>
      </c>
      <c r="BK35" s="6">
        <v>0</v>
      </c>
      <c r="BL35" s="6">
        <v>0</v>
      </c>
      <c r="BM35" s="6">
        <v>0</v>
      </c>
      <c r="BN35" s="6">
        <v>0</v>
      </c>
    </row>
    <row r="36" ht="34.2" customHeight="1" spans="1:66">
      <c r="A36" s="7">
        <v>95</v>
      </c>
      <c r="B36" s="7">
        <v>35</v>
      </c>
      <c r="C36" s="3" t="s">
        <v>101</v>
      </c>
      <c r="D36" s="6">
        <v>0.118</v>
      </c>
      <c r="E36" s="6">
        <v>4.479</v>
      </c>
      <c r="F36" s="6">
        <v>252</v>
      </c>
      <c r="G36" s="6">
        <f t="shared" si="1"/>
        <v>0.0177738095238095</v>
      </c>
      <c r="H36" s="6">
        <v>78.98</v>
      </c>
      <c r="I36" s="3" t="s">
        <v>67</v>
      </c>
      <c r="J36" s="3"/>
      <c r="K36" s="6">
        <v>1</v>
      </c>
      <c r="L36" s="6">
        <v>1</v>
      </c>
      <c r="M36" s="6">
        <v>1.353509</v>
      </c>
      <c r="N36" s="6">
        <v>0.614261</v>
      </c>
      <c r="O36" s="6">
        <v>2.20347539563801</v>
      </c>
      <c r="P36" s="6">
        <v>0.739248</v>
      </c>
      <c r="Q36" s="6">
        <v>0.966619959358886</v>
      </c>
      <c r="R36" s="6">
        <v>0.438757857142857</v>
      </c>
      <c r="S36" s="6">
        <v>0.023256476919</v>
      </c>
      <c r="T36" s="6">
        <v>0.000238368879</v>
      </c>
      <c r="U36" s="6">
        <v>0.112670653830086</v>
      </c>
      <c r="V36" s="6">
        <v>0.025134591694291</v>
      </c>
      <c r="W36" s="6">
        <v>10.4190542681268</v>
      </c>
      <c r="X36" s="6">
        <v>4.80420950298346</v>
      </c>
      <c r="Y36" s="6">
        <v>15.2232637711103</v>
      </c>
      <c r="Z36" s="6">
        <v>1.240256</v>
      </c>
      <c r="AA36" s="6">
        <v>1.555876</v>
      </c>
      <c r="AB36" s="6">
        <v>2.199744</v>
      </c>
      <c r="AC36" s="6">
        <v>1.884124</v>
      </c>
      <c r="AD36" s="6">
        <v>0.31562</v>
      </c>
      <c r="AE36" s="6">
        <v>1.759</v>
      </c>
      <c r="AF36" s="6">
        <v>4.2646</v>
      </c>
      <c r="AG36" s="6">
        <v>0.920607951301747</v>
      </c>
      <c r="AH36" s="6">
        <v>0.44111998367791</v>
      </c>
      <c r="AI36" s="6">
        <v>0.721839954560566</v>
      </c>
      <c r="AJ36" s="6">
        <v>92.46571266248</v>
      </c>
      <c r="AK36" s="6">
        <v>59.784417302</v>
      </c>
      <c r="AL36" s="6">
        <v>144.21457</v>
      </c>
      <c r="AM36" s="6">
        <v>99.4708</v>
      </c>
      <c r="AN36" s="6">
        <v>5.804111003555</v>
      </c>
      <c r="AO36" s="6">
        <v>6.809791158</v>
      </c>
      <c r="AP36" s="6">
        <v>0</v>
      </c>
      <c r="AQ36" s="6">
        <v>0</v>
      </c>
      <c r="AR36" s="6">
        <v>0.3323</v>
      </c>
      <c r="AS36" s="6">
        <v>0.0118</v>
      </c>
      <c r="AT36" s="6">
        <v>0</v>
      </c>
      <c r="AU36" s="6">
        <v>0.1323</v>
      </c>
      <c r="AV36" s="6">
        <v>0</v>
      </c>
      <c r="AW36" s="6">
        <v>0</v>
      </c>
      <c r="AX36" s="6">
        <v>0.441</v>
      </c>
      <c r="AY36" s="6">
        <v>0</v>
      </c>
      <c r="AZ36" s="6">
        <v>0</v>
      </c>
      <c r="BA36" s="6">
        <v>0.0826</v>
      </c>
      <c r="BB36" s="6">
        <v>0</v>
      </c>
      <c r="BC36" s="6">
        <v>0</v>
      </c>
      <c r="BD36" s="6">
        <v>0</v>
      </c>
      <c r="BE36" s="6">
        <v>0</v>
      </c>
      <c r="BF36" s="6">
        <v>0.2646</v>
      </c>
      <c r="BG36" s="6">
        <v>0</v>
      </c>
      <c r="BH36" s="6">
        <v>0</v>
      </c>
      <c r="BI36" s="6">
        <v>0</v>
      </c>
      <c r="BJ36" s="6">
        <v>0.7354</v>
      </c>
      <c r="BK36" s="6">
        <v>0</v>
      </c>
      <c r="BL36" s="6">
        <v>0</v>
      </c>
      <c r="BM36" s="6">
        <v>0</v>
      </c>
      <c r="BN36" s="6">
        <v>0</v>
      </c>
    </row>
    <row r="37" ht="34.2" customHeight="1" spans="1:66">
      <c r="A37" s="7">
        <v>96</v>
      </c>
      <c r="B37" s="7">
        <v>36</v>
      </c>
      <c r="C37" s="3" t="s">
        <v>102</v>
      </c>
      <c r="D37" s="6">
        <v>0.12</v>
      </c>
      <c r="E37" s="6">
        <v>4.305</v>
      </c>
      <c r="F37" s="6">
        <v>220</v>
      </c>
      <c r="G37" s="6">
        <f t="shared" si="1"/>
        <v>0.0195681818181818</v>
      </c>
      <c r="H37" s="6">
        <v>78.99</v>
      </c>
      <c r="I37" s="3" t="s">
        <v>67</v>
      </c>
      <c r="J37" s="3"/>
      <c r="K37" s="6">
        <v>1</v>
      </c>
      <c r="L37" s="6">
        <v>1</v>
      </c>
      <c r="M37" s="6">
        <v>1.35356</v>
      </c>
      <c r="N37" s="6">
        <v>0.61424</v>
      </c>
      <c r="O37" s="6">
        <v>2.20363375879135</v>
      </c>
      <c r="P37" s="6">
        <v>0.73932</v>
      </c>
      <c r="Q37" s="6">
        <v>0.96664794086307</v>
      </c>
      <c r="R37" s="6">
        <v>0.438742857142857</v>
      </c>
      <c r="S37" s="6">
        <v>0.0232309264</v>
      </c>
      <c r="T37" s="6">
        <v>0.0002380224</v>
      </c>
      <c r="U37" s="6">
        <v>0.112604501602242</v>
      </c>
      <c r="V37" s="6">
        <v>0.0251171766599874</v>
      </c>
      <c r="W37" s="6">
        <v>10.4407388076226</v>
      </c>
      <c r="X37" s="6">
        <v>4.7991024052203</v>
      </c>
      <c r="Y37" s="6">
        <v>15.2398412128429</v>
      </c>
      <c r="Z37" s="6">
        <v>1.24004</v>
      </c>
      <c r="AA37" s="6">
        <v>1.55584</v>
      </c>
      <c r="AB37" s="6">
        <v>2.19996</v>
      </c>
      <c r="AC37" s="6">
        <v>1.88416</v>
      </c>
      <c r="AD37" s="6">
        <v>0.3158</v>
      </c>
      <c r="AE37" s="6">
        <v>1.76</v>
      </c>
      <c r="AF37" s="6">
        <v>4.264</v>
      </c>
      <c r="AG37" s="6">
        <v>0.92</v>
      </c>
      <c r="AH37" s="6">
        <v>0.440799274046589</v>
      </c>
      <c r="AI37" s="6">
        <v>0.721354281889281</v>
      </c>
      <c r="AJ37" s="6">
        <v>92.4989828832</v>
      </c>
      <c r="AK37" s="6">
        <v>59.75739368</v>
      </c>
      <c r="AL37" s="6">
        <v>144.2588</v>
      </c>
      <c r="AM37" s="6">
        <v>99.472</v>
      </c>
      <c r="AN37" s="6">
        <v>5.8046795182</v>
      </c>
      <c r="AO37" s="6">
        <v>6.80983272</v>
      </c>
      <c r="AP37" s="6">
        <v>0</v>
      </c>
      <c r="AQ37" s="6">
        <v>0</v>
      </c>
      <c r="AR37" s="6">
        <v>0.332</v>
      </c>
      <c r="AS37" s="6">
        <v>0.012</v>
      </c>
      <c r="AT37" s="6">
        <v>0</v>
      </c>
      <c r="AU37" s="6">
        <v>0.132</v>
      </c>
      <c r="AV37" s="6">
        <v>0</v>
      </c>
      <c r="AW37" s="6">
        <v>0</v>
      </c>
      <c r="AX37" s="6">
        <v>0.44</v>
      </c>
      <c r="AY37" s="6">
        <v>0</v>
      </c>
      <c r="AZ37" s="6">
        <v>0</v>
      </c>
      <c r="BA37" s="6">
        <v>0.084</v>
      </c>
      <c r="BB37" s="6">
        <v>0</v>
      </c>
      <c r="BC37" s="6">
        <v>0</v>
      </c>
      <c r="BD37" s="6">
        <v>0</v>
      </c>
      <c r="BE37" s="6">
        <v>0</v>
      </c>
      <c r="BF37" s="6">
        <v>0.264</v>
      </c>
      <c r="BG37" s="6">
        <v>0</v>
      </c>
      <c r="BH37" s="6">
        <v>0</v>
      </c>
      <c r="BI37" s="6">
        <v>0</v>
      </c>
      <c r="BJ37" s="6">
        <v>0.736</v>
      </c>
      <c r="BK37" s="6">
        <v>0</v>
      </c>
      <c r="BL37" s="6">
        <v>0</v>
      </c>
      <c r="BM37" s="6">
        <v>0</v>
      </c>
      <c r="BN37" s="6">
        <v>0</v>
      </c>
    </row>
    <row r="38" ht="34.2" customHeight="1" spans="1:66">
      <c r="A38" s="7">
        <v>97</v>
      </c>
      <c r="B38" s="7">
        <v>37</v>
      </c>
      <c r="C38" s="3" t="s">
        <v>103</v>
      </c>
      <c r="D38" s="6">
        <v>0.122</v>
      </c>
      <c r="E38" s="6">
        <v>4.436</v>
      </c>
      <c r="F38" s="6">
        <v>222</v>
      </c>
      <c r="G38" s="6">
        <f t="shared" si="1"/>
        <v>0.019981981981982</v>
      </c>
      <c r="H38" s="6">
        <v>79.22</v>
      </c>
      <c r="I38" s="3" t="s">
        <v>67</v>
      </c>
      <c r="J38" s="3"/>
      <c r="K38" s="6">
        <v>1</v>
      </c>
      <c r="L38" s="6">
        <v>1</v>
      </c>
      <c r="M38" s="6">
        <v>1.353611</v>
      </c>
      <c r="N38" s="6">
        <v>0.614219</v>
      </c>
      <c r="O38" s="6">
        <v>2.20379213277349</v>
      </c>
      <c r="P38" s="6">
        <v>0.739392</v>
      </c>
      <c r="Q38" s="6">
        <v>0.966675922950717</v>
      </c>
      <c r="R38" s="6">
        <v>0.438727857142857</v>
      </c>
      <c r="S38" s="6">
        <v>0.023205370679</v>
      </c>
      <c r="T38" s="6">
        <v>0.000237675039</v>
      </c>
      <c r="U38" s="6">
        <v>0.112538307692989</v>
      </c>
      <c r="V38" s="6">
        <v>0.0250997005571417</v>
      </c>
      <c r="W38" s="6">
        <v>10.4621747984495</v>
      </c>
      <c r="X38" s="6">
        <v>4.79397990268665</v>
      </c>
      <c r="Y38" s="6">
        <v>15.2561547011362</v>
      </c>
      <c r="Z38" s="6">
        <v>1.239824</v>
      </c>
      <c r="AA38" s="6">
        <v>1.555804</v>
      </c>
      <c r="AB38" s="6">
        <v>2.200176</v>
      </c>
      <c r="AC38" s="6">
        <v>1.884196</v>
      </c>
      <c r="AD38" s="6">
        <v>0.31598</v>
      </c>
      <c r="AE38" s="6">
        <v>1.761</v>
      </c>
      <c r="AF38" s="6">
        <v>4.2634</v>
      </c>
      <c r="AG38" s="6">
        <v>0.919390559011784</v>
      </c>
      <c r="AH38" s="6">
        <v>0.440477513614486</v>
      </c>
      <c r="AI38" s="6">
        <v>0.720867338696934</v>
      </c>
      <c r="AJ38" s="6">
        <v>92.53225310392</v>
      </c>
      <c r="AK38" s="6">
        <v>59.730370058</v>
      </c>
      <c r="AL38" s="6">
        <v>144.30303</v>
      </c>
      <c r="AM38" s="6">
        <v>99.4732</v>
      </c>
      <c r="AN38" s="6">
        <v>5.805248032845</v>
      </c>
      <c r="AO38" s="6">
        <v>6.809874282</v>
      </c>
      <c r="AP38" s="6">
        <v>0</v>
      </c>
      <c r="AQ38" s="6">
        <v>0</v>
      </c>
      <c r="AR38" s="6">
        <v>0.3317</v>
      </c>
      <c r="AS38" s="6">
        <v>0.0122</v>
      </c>
      <c r="AT38" s="6">
        <v>0</v>
      </c>
      <c r="AU38" s="6">
        <v>0.1317</v>
      </c>
      <c r="AV38" s="6">
        <v>0</v>
      </c>
      <c r="AW38" s="6">
        <v>0</v>
      </c>
      <c r="AX38" s="6">
        <v>0.439</v>
      </c>
      <c r="AY38" s="6">
        <v>0</v>
      </c>
      <c r="AZ38" s="6">
        <v>0</v>
      </c>
      <c r="BA38" s="6">
        <v>0.0854</v>
      </c>
      <c r="BB38" s="6">
        <v>0</v>
      </c>
      <c r="BC38" s="6">
        <v>0</v>
      </c>
      <c r="BD38" s="6">
        <v>0</v>
      </c>
      <c r="BE38" s="6">
        <v>0</v>
      </c>
      <c r="BF38" s="6">
        <v>0.2634</v>
      </c>
      <c r="BG38" s="6">
        <v>0</v>
      </c>
      <c r="BH38" s="6">
        <v>0</v>
      </c>
      <c r="BI38" s="6">
        <v>0</v>
      </c>
      <c r="BJ38" s="6">
        <v>0.7366</v>
      </c>
      <c r="BK38" s="6">
        <v>0</v>
      </c>
      <c r="BL38" s="6">
        <v>0</v>
      </c>
      <c r="BM38" s="6">
        <v>0</v>
      </c>
      <c r="BN38" s="6">
        <v>0</v>
      </c>
    </row>
    <row r="39" ht="34.2" customHeight="1" spans="1:66">
      <c r="A39" s="7">
        <v>98</v>
      </c>
      <c r="B39" s="7">
        <v>38</v>
      </c>
      <c r="C39" s="3" t="s">
        <v>104</v>
      </c>
      <c r="D39" s="6">
        <v>0.124</v>
      </c>
      <c r="E39" s="6">
        <v>4.614</v>
      </c>
      <c r="F39" s="6">
        <v>234</v>
      </c>
      <c r="G39" s="6">
        <f t="shared" si="1"/>
        <v>0.0197179487179487</v>
      </c>
      <c r="H39" s="6">
        <v>78.1</v>
      </c>
      <c r="I39" s="3" t="s">
        <v>67</v>
      </c>
      <c r="J39" s="3"/>
      <c r="K39" s="6">
        <v>1</v>
      </c>
      <c r="L39" s="6">
        <v>1</v>
      </c>
      <c r="M39" s="6">
        <v>1.353662</v>
      </c>
      <c r="N39" s="6">
        <v>0.614198</v>
      </c>
      <c r="O39" s="6">
        <v>2.20395051758553</v>
      </c>
      <c r="P39" s="6">
        <v>0.739464</v>
      </c>
      <c r="Q39" s="6">
        <v>0.966703905621846</v>
      </c>
      <c r="R39" s="6">
        <v>0.438712857142857</v>
      </c>
      <c r="S39" s="6">
        <v>0.023179809756</v>
      </c>
      <c r="T39" s="6">
        <v>0.000237326796</v>
      </c>
      <c r="U39" s="6">
        <v>0.112472072029931</v>
      </c>
      <c r="V39" s="6">
        <v>0.0250821632481709</v>
      </c>
      <c r="W39" s="6">
        <v>10.4833658178456</v>
      </c>
      <c r="X39" s="6">
        <v>4.78884197286845</v>
      </c>
      <c r="Y39" s="6">
        <v>15.272207790714</v>
      </c>
      <c r="Z39" s="6">
        <v>1.239608</v>
      </c>
      <c r="AA39" s="6">
        <v>1.555768</v>
      </c>
      <c r="AB39" s="6">
        <v>2.200392</v>
      </c>
      <c r="AC39" s="6">
        <v>1.884232</v>
      </c>
      <c r="AD39" s="6">
        <v>0.31616</v>
      </c>
      <c r="AE39" s="6">
        <v>1.762</v>
      </c>
      <c r="AF39" s="6">
        <v>4.2628</v>
      </c>
      <c r="AG39" s="6">
        <v>0.918779625372701</v>
      </c>
      <c r="AH39" s="6">
        <v>0.440154700077143</v>
      </c>
      <c r="AI39" s="6">
        <v>0.720379122407084</v>
      </c>
      <c r="AJ39" s="6">
        <v>92.56552332464</v>
      </c>
      <c r="AK39" s="6">
        <v>59.703346436</v>
      </c>
      <c r="AL39" s="6">
        <v>144.34726</v>
      </c>
      <c r="AM39" s="6">
        <v>99.4744</v>
      </c>
      <c r="AN39" s="6">
        <v>5.80581654749</v>
      </c>
      <c r="AO39" s="6">
        <v>6.809915844</v>
      </c>
      <c r="AP39" s="6">
        <v>0</v>
      </c>
      <c r="AQ39" s="6">
        <v>0</v>
      </c>
      <c r="AR39" s="6">
        <v>0.3314</v>
      </c>
      <c r="AS39" s="6">
        <v>0.0124</v>
      </c>
      <c r="AT39" s="6">
        <v>0</v>
      </c>
      <c r="AU39" s="6">
        <v>0.1314</v>
      </c>
      <c r="AV39" s="6">
        <v>0</v>
      </c>
      <c r="AW39" s="6">
        <v>0</v>
      </c>
      <c r="AX39" s="6">
        <v>0.438</v>
      </c>
      <c r="AY39" s="6">
        <v>0</v>
      </c>
      <c r="AZ39" s="6">
        <v>0</v>
      </c>
      <c r="BA39" s="6">
        <v>0.0868</v>
      </c>
      <c r="BB39" s="6">
        <v>0</v>
      </c>
      <c r="BC39" s="6">
        <v>0</v>
      </c>
      <c r="BD39" s="6">
        <v>0</v>
      </c>
      <c r="BE39" s="6">
        <v>0</v>
      </c>
      <c r="BF39" s="6">
        <v>0.2628</v>
      </c>
      <c r="BG39" s="6">
        <v>0</v>
      </c>
      <c r="BH39" s="6">
        <v>0</v>
      </c>
      <c r="BI39" s="6">
        <v>0</v>
      </c>
      <c r="BJ39" s="6">
        <v>0.7372</v>
      </c>
      <c r="BK39" s="6">
        <v>0</v>
      </c>
      <c r="BL39" s="6">
        <v>0</v>
      </c>
      <c r="BM39" s="6">
        <v>0</v>
      </c>
      <c r="BN39" s="6">
        <v>0</v>
      </c>
    </row>
    <row r="40" ht="34.2" customHeight="1" spans="1:66">
      <c r="A40" s="7">
        <v>99</v>
      </c>
      <c r="B40" s="7">
        <v>39</v>
      </c>
      <c r="C40" s="3" t="s">
        <v>105</v>
      </c>
      <c r="D40" s="6">
        <v>0.126</v>
      </c>
      <c r="E40" s="6">
        <v>4.797</v>
      </c>
      <c r="F40" s="6">
        <v>247</v>
      </c>
      <c r="G40" s="6">
        <f t="shared" si="1"/>
        <v>0.0194210526315789</v>
      </c>
      <c r="H40" s="6">
        <v>79.31</v>
      </c>
      <c r="I40" s="3" t="s">
        <v>67</v>
      </c>
      <c r="J40" s="3"/>
      <c r="K40" s="6">
        <v>1</v>
      </c>
      <c r="L40" s="6">
        <v>1</v>
      </c>
      <c r="M40" s="6">
        <v>1.353713</v>
      </c>
      <c r="N40" s="6">
        <v>0.614177</v>
      </c>
      <c r="O40" s="6">
        <v>2.2041089132286</v>
      </c>
      <c r="P40" s="6">
        <v>0.739536</v>
      </c>
      <c r="Q40" s="6">
        <v>0.966731888876475</v>
      </c>
      <c r="R40" s="6">
        <v>0.438697857142857</v>
      </c>
      <c r="S40" s="6">
        <v>0.023154243631</v>
      </c>
      <c r="T40" s="6">
        <v>0.000236977671</v>
      </c>
      <c r="U40" s="6">
        <v>0.112405794540455</v>
      </c>
      <c r="V40" s="6">
        <v>0.0250645645946566</v>
      </c>
      <c r="W40" s="6">
        <v>10.5043153255085</v>
      </c>
      <c r="X40" s="6">
        <v>4.78368859312832</v>
      </c>
      <c r="Y40" s="6">
        <v>15.2880039186368</v>
      </c>
      <c r="Z40" s="6">
        <v>1.239392</v>
      </c>
      <c r="AA40" s="6">
        <v>1.555732</v>
      </c>
      <c r="AB40" s="6">
        <v>2.200608</v>
      </c>
      <c r="AC40" s="6">
        <v>1.884268</v>
      </c>
      <c r="AD40" s="6">
        <v>0.31634</v>
      </c>
      <c r="AE40" s="6">
        <v>1.763</v>
      </c>
      <c r="AF40" s="6">
        <v>4.2622</v>
      </c>
      <c r="AG40" s="6">
        <v>0.918167196103193</v>
      </c>
      <c r="AH40" s="6">
        <v>0.439830831115782</v>
      </c>
      <c r="AI40" s="6">
        <v>0.719889630429554</v>
      </c>
      <c r="AJ40" s="6">
        <v>92.59879354536</v>
      </c>
      <c r="AK40" s="6">
        <v>59.676322814</v>
      </c>
      <c r="AL40" s="6">
        <v>144.39149</v>
      </c>
      <c r="AM40" s="6">
        <v>99.4756</v>
      </c>
      <c r="AN40" s="6">
        <v>5.806385062135</v>
      </c>
      <c r="AO40" s="6">
        <v>6.809957406</v>
      </c>
      <c r="AP40" s="6">
        <v>0</v>
      </c>
      <c r="AQ40" s="6">
        <v>0</v>
      </c>
      <c r="AR40" s="6">
        <v>0.3311</v>
      </c>
      <c r="AS40" s="6">
        <v>0.0126</v>
      </c>
      <c r="AT40" s="6">
        <v>0</v>
      </c>
      <c r="AU40" s="6">
        <v>0.1311</v>
      </c>
      <c r="AV40" s="6">
        <v>0</v>
      </c>
      <c r="AW40" s="6">
        <v>0</v>
      </c>
      <c r="AX40" s="6">
        <v>0.437</v>
      </c>
      <c r="AY40" s="6">
        <v>0</v>
      </c>
      <c r="AZ40" s="6">
        <v>0</v>
      </c>
      <c r="BA40" s="6">
        <v>0.0882</v>
      </c>
      <c r="BB40" s="6">
        <v>0</v>
      </c>
      <c r="BC40" s="6">
        <v>0</v>
      </c>
      <c r="BD40" s="6">
        <v>0</v>
      </c>
      <c r="BE40" s="6">
        <v>0</v>
      </c>
      <c r="BF40" s="6">
        <v>0.2622</v>
      </c>
      <c r="BG40" s="6">
        <v>0</v>
      </c>
      <c r="BH40" s="6">
        <v>0</v>
      </c>
      <c r="BI40" s="6">
        <v>0</v>
      </c>
      <c r="BJ40" s="6">
        <v>0.7378</v>
      </c>
      <c r="BK40" s="6">
        <v>0</v>
      </c>
      <c r="BL40" s="6">
        <v>0</v>
      </c>
      <c r="BM40" s="6">
        <v>0</v>
      </c>
      <c r="BN40" s="6">
        <v>0</v>
      </c>
    </row>
    <row r="41" ht="34.2" customHeight="1" spans="1:66">
      <c r="A41" s="7">
        <v>100</v>
      </c>
      <c r="B41" s="7">
        <v>40</v>
      </c>
      <c r="C41" s="3" t="s">
        <v>106</v>
      </c>
      <c r="D41" s="6">
        <v>0.128</v>
      </c>
      <c r="E41" s="6">
        <v>4.763</v>
      </c>
      <c r="F41" s="6">
        <v>240</v>
      </c>
      <c r="G41" s="6">
        <f t="shared" si="1"/>
        <v>0.0198458333333333</v>
      </c>
      <c r="H41" s="6">
        <v>79.54</v>
      </c>
      <c r="I41" s="3" t="s">
        <v>67</v>
      </c>
      <c r="J41" s="3"/>
      <c r="K41" s="6">
        <v>1</v>
      </c>
      <c r="L41" s="6">
        <v>1</v>
      </c>
      <c r="M41" s="6">
        <v>1.353764</v>
      </c>
      <c r="N41" s="6">
        <v>0.614156</v>
      </c>
      <c r="O41" s="6">
        <v>2.20426731970379</v>
      </c>
      <c r="P41" s="6">
        <v>0.739608</v>
      </c>
      <c r="Q41" s="6">
        <v>0.966759872714622</v>
      </c>
      <c r="R41" s="6">
        <v>0.438682857142857</v>
      </c>
      <c r="S41" s="6">
        <v>0.023128672304</v>
      </c>
      <c r="T41" s="6">
        <v>0.000236627664</v>
      </c>
      <c r="U41" s="6">
        <v>0.112339475151728</v>
      </c>
      <c r="V41" s="6">
        <v>0.0250469044573398</v>
      </c>
      <c r="W41" s="6">
        <v>10.5250266691797</v>
      </c>
      <c r="X41" s="6">
        <v>4.77851974070477</v>
      </c>
      <c r="Y41" s="6">
        <v>15.3035464098844</v>
      </c>
      <c r="Z41" s="6">
        <v>1.239176</v>
      </c>
      <c r="AA41" s="6">
        <v>1.555696</v>
      </c>
      <c r="AB41" s="6">
        <v>2.200824</v>
      </c>
      <c r="AC41" s="6">
        <v>1.884304</v>
      </c>
      <c r="AD41" s="6">
        <v>0.31652</v>
      </c>
      <c r="AE41" s="6">
        <v>1.764</v>
      </c>
      <c r="AF41" s="6">
        <v>4.2616</v>
      </c>
      <c r="AG41" s="6">
        <v>0.917553268208446</v>
      </c>
      <c r="AH41" s="6">
        <v>0.439505904397199</v>
      </c>
      <c r="AI41" s="6">
        <v>0.719398860160342</v>
      </c>
      <c r="AJ41" s="6">
        <v>92.63206376608</v>
      </c>
      <c r="AK41" s="6">
        <v>59.649299192</v>
      </c>
      <c r="AL41" s="6">
        <v>144.43572</v>
      </c>
      <c r="AM41" s="6">
        <v>99.4768</v>
      </c>
      <c r="AN41" s="6">
        <v>5.80695357678</v>
      </c>
      <c r="AO41" s="6">
        <v>6.809998968</v>
      </c>
      <c r="AP41" s="6">
        <v>0</v>
      </c>
      <c r="AQ41" s="6">
        <v>0</v>
      </c>
      <c r="AR41" s="6">
        <v>0.3308</v>
      </c>
      <c r="AS41" s="6">
        <v>0.0128</v>
      </c>
      <c r="AT41" s="6">
        <v>0</v>
      </c>
      <c r="AU41" s="6">
        <v>0.1308</v>
      </c>
      <c r="AV41" s="6">
        <v>0</v>
      </c>
      <c r="AW41" s="6">
        <v>0</v>
      </c>
      <c r="AX41" s="6">
        <v>0.436</v>
      </c>
      <c r="AY41" s="6">
        <v>0</v>
      </c>
      <c r="AZ41" s="6">
        <v>0</v>
      </c>
      <c r="BA41" s="6">
        <v>0.0896</v>
      </c>
      <c r="BB41" s="6">
        <v>0</v>
      </c>
      <c r="BC41" s="6">
        <v>0</v>
      </c>
      <c r="BD41" s="6">
        <v>0</v>
      </c>
      <c r="BE41" s="6">
        <v>0</v>
      </c>
      <c r="BF41" s="6">
        <v>0.2616</v>
      </c>
      <c r="BG41" s="6">
        <v>0</v>
      </c>
      <c r="BH41" s="6">
        <v>0</v>
      </c>
      <c r="BI41" s="6">
        <v>0</v>
      </c>
      <c r="BJ41" s="6">
        <v>0.7384</v>
      </c>
      <c r="BK41" s="6">
        <v>0</v>
      </c>
      <c r="BL41" s="6">
        <v>0</v>
      </c>
      <c r="BM41" s="6">
        <v>0</v>
      </c>
      <c r="BN41" s="6">
        <v>0</v>
      </c>
    </row>
    <row r="42" ht="34.2" customHeight="1" spans="1:66">
      <c r="A42" s="7">
        <v>101</v>
      </c>
      <c r="B42" s="7">
        <v>41</v>
      </c>
      <c r="C42" s="3" t="s">
        <v>107</v>
      </c>
      <c r="D42" s="6">
        <v>0.13</v>
      </c>
      <c r="E42" s="6">
        <v>5.036</v>
      </c>
      <c r="F42" s="6">
        <v>264</v>
      </c>
      <c r="G42" s="6">
        <f t="shared" si="1"/>
        <v>0.0190757575757576</v>
      </c>
      <c r="H42" s="6">
        <v>79.56</v>
      </c>
      <c r="I42" s="3" t="s">
        <v>67</v>
      </c>
      <c r="J42" s="3"/>
      <c r="K42" s="6">
        <v>1</v>
      </c>
      <c r="L42" s="6">
        <v>1</v>
      </c>
      <c r="M42" s="6">
        <v>1.353815</v>
      </c>
      <c r="N42" s="6">
        <v>0.614135</v>
      </c>
      <c r="O42" s="6">
        <v>2.20442573701222</v>
      </c>
      <c r="P42" s="6">
        <v>0.73968</v>
      </c>
      <c r="Q42" s="6">
        <v>0.966787857136305</v>
      </c>
      <c r="R42" s="6">
        <v>0.438667857142857</v>
      </c>
      <c r="S42" s="6">
        <v>0.023103095775</v>
      </c>
      <c r="T42" s="6">
        <v>0.000236276775</v>
      </c>
      <c r="U42" s="6">
        <v>0.112273113790699</v>
      </c>
      <c r="V42" s="6">
        <v>0.0250291826961138</v>
      </c>
      <c r="W42" s="6">
        <v>10.5455030898788</v>
      </c>
      <c r="X42" s="6">
        <v>4.77333539271138</v>
      </c>
      <c r="Y42" s="6">
        <v>15.3188384825902</v>
      </c>
      <c r="Z42" s="6">
        <v>1.23896</v>
      </c>
      <c r="AA42" s="6">
        <v>1.55566</v>
      </c>
      <c r="AB42" s="6">
        <v>2.20104</v>
      </c>
      <c r="AC42" s="6">
        <v>1.88434</v>
      </c>
      <c r="AD42" s="6">
        <v>0.3167</v>
      </c>
      <c r="AE42" s="6">
        <v>1.765</v>
      </c>
      <c r="AF42" s="6">
        <v>4.261</v>
      </c>
      <c r="AG42" s="6">
        <v>0.916937838678282</v>
      </c>
      <c r="AH42" s="6">
        <v>0.439179917573652</v>
      </c>
      <c r="AI42" s="6">
        <v>0.718906808981526</v>
      </c>
      <c r="AJ42" s="6">
        <v>92.6653339868</v>
      </c>
      <c r="AK42" s="6">
        <v>59.62227557</v>
      </c>
      <c r="AL42" s="6">
        <v>144.47995</v>
      </c>
      <c r="AM42" s="6">
        <v>99.478</v>
      </c>
      <c r="AN42" s="6">
        <v>5.807522091425</v>
      </c>
      <c r="AO42" s="6">
        <v>6.81004053</v>
      </c>
      <c r="AP42" s="6">
        <v>0</v>
      </c>
      <c r="AQ42" s="6">
        <v>0</v>
      </c>
      <c r="AR42" s="6">
        <v>0.3305</v>
      </c>
      <c r="AS42" s="6">
        <v>0.013</v>
      </c>
      <c r="AT42" s="6">
        <v>0</v>
      </c>
      <c r="AU42" s="6">
        <v>0.1305</v>
      </c>
      <c r="AV42" s="6">
        <v>0</v>
      </c>
      <c r="AW42" s="6">
        <v>0</v>
      </c>
      <c r="AX42" s="6">
        <v>0.435</v>
      </c>
      <c r="AY42" s="6">
        <v>0</v>
      </c>
      <c r="AZ42" s="6">
        <v>0</v>
      </c>
      <c r="BA42" s="6">
        <v>0.091</v>
      </c>
      <c r="BB42" s="6">
        <v>0</v>
      </c>
      <c r="BC42" s="6">
        <v>0</v>
      </c>
      <c r="BD42" s="6">
        <v>0</v>
      </c>
      <c r="BE42" s="6">
        <v>0</v>
      </c>
      <c r="BF42" s="6">
        <v>0.261</v>
      </c>
      <c r="BG42" s="6">
        <v>0</v>
      </c>
      <c r="BH42" s="6">
        <v>0</v>
      </c>
      <c r="BI42" s="6">
        <v>0</v>
      </c>
      <c r="BJ42" s="6">
        <v>0.739</v>
      </c>
      <c r="BK42" s="6">
        <v>0</v>
      </c>
      <c r="BL42" s="6">
        <v>0</v>
      </c>
      <c r="BM42" s="6">
        <v>0</v>
      </c>
      <c r="BN42" s="6">
        <v>0</v>
      </c>
    </row>
    <row r="43" ht="34.2" customHeight="1" spans="1:66">
      <c r="A43" s="7">
        <v>102</v>
      </c>
      <c r="B43" s="7">
        <v>42</v>
      </c>
      <c r="C43" s="3" t="s">
        <v>108</v>
      </c>
      <c r="D43" s="6">
        <v>0.132</v>
      </c>
      <c r="E43" s="6">
        <v>5.093</v>
      </c>
      <c r="F43" s="6">
        <v>258</v>
      </c>
      <c r="G43" s="6">
        <f t="shared" si="1"/>
        <v>0.0197403100775194</v>
      </c>
      <c r="H43" s="6">
        <v>80.2</v>
      </c>
      <c r="I43" s="3" t="s">
        <v>67</v>
      </c>
      <c r="J43" s="3"/>
      <c r="K43" s="6">
        <v>1</v>
      </c>
      <c r="L43" s="6">
        <v>1</v>
      </c>
      <c r="M43" s="6">
        <v>1.353866</v>
      </c>
      <c r="N43" s="6">
        <v>0.614114</v>
      </c>
      <c r="O43" s="6">
        <v>2.204584165155</v>
      </c>
      <c r="P43" s="6">
        <v>0.739752</v>
      </c>
      <c r="Q43" s="6">
        <v>0.966815842141543</v>
      </c>
      <c r="R43" s="6">
        <v>0.438652857142857</v>
      </c>
      <c r="S43" s="6">
        <v>0.023077514044</v>
      </c>
      <c r="T43" s="6">
        <v>0.000235925004</v>
      </c>
      <c r="U43" s="6">
        <v>0.112206710384095</v>
      </c>
      <c r="V43" s="6">
        <v>0.0250113991700179</v>
      </c>
      <c r="W43" s="6">
        <v>10.5657477268167</v>
      </c>
      <c r="X43" s="6">
        <v>4.76813552613599</v>
      </c>
      <c r="Y43" s="6">
        <v>15.3338832529527</v>
      </c>
      <c r="Z43" s="6">
        <v>1.238744</v>
      </c>
      <c r="AA43" s="6">
        <v>1.555624</v>
      </c>
      <c r="AB43" s="6">
        <v>2.201256</v>
      </c>
      <c r="AC43" s="6">
        <v>1.884376</v>
      </c>
      <c r="AD43" s="6">
        <v>0.31688</v>
      </c>
      <c r="AE43" s="6">
        <v>1.766</v>
      </c>
      <c r="AF43" s="6">
        <v>4.2604</v>
      </c>
      <c r="AG43" s="6">
        <v>0.916320904487069</v>
      </c>
      <c r="AH43" s="6">
        <v>0.438852868282754</v>
      </c>
      <c r="AI43" s="6">
        <v>0.718413474261167</v>
      </c>
      <c r="AJ43" s="6">
        <v>92.69860420752</v>
      </c>
      <c r="AK43" s="6">
        <v>59.595251948</v>
      </c>
      <c r="AL43" s="6">
        <v>144.52418</v>
      </c>
      <c r="AM43" s="6">
        <v>99.4792</v>
      </c>
      <c r="AN43" s="6">
        <v>5.80809060607</v>
      </c>
      <c r="AO43" s="6">
        <v>6.810082092</v>
      </c>
      <c r="AP43" s="6">
        <v>0</v>
      </c>
      <c r="AQ43" s="6">
        <v>0</v>
      </c>
      <c r="AR43" s="6">
        <v>0.3302</v>
      </c>
      <c r="AS43" s="6">
        <v>0.0132</v>
      </c>
      <c r="AT43" s="6">
        <v>0</v>
      </c>
      <c r="AU43" s="6">
        <v>0.1302</v>
      </c>
      <c r="AV43" s="6">
        <v>0</v>
      </c>
      <c r="AW43" s="6">
        <v>0</v>
      </c>
      <c r="AX43" s="6">
        <v>0.434</v>
      </c>
      <c r="AY43" s="6">
        <v>0</v>
      </c>
      <c r="AZ43" s="6">
        <v>0</v>
      </c>
      <c r="BA43" s="6">
        <v>0.0924</v>
      </c>
      <c r="BB43" s="6">
        <v>0</v>
      </c>
      <c r="BC43" s="6">
        <v>0</v>
      </c>
      <c r="BD43" s="6">
        <v>0</v>
      </c>
      <c r="BE43" s="6">
        <v>0</v>
      </c>
      <c r="BF43" s="6">
        <v>0.2604</v>
      </c>
      <c r="BG43" s="6">
        <v>0</v>
      </c>
      <c r="BH43" s="6">
        <v>0</v>
      </c>
      <c r="BI43" s="6">
        <v>0</v>
      </c>
      <c r="BJ43" s="6">
        <v>0.7396</v>
      </c>
      <c r="BK43" s="6">
        <v>0</v>
      </c>
      <c r="BL43" s="6">
        <v>0</v>
      </c>
      <c r="BM43" s="6">
        <v>0</v>
      </c>
      <c r="BN43" s="6">
        <v>0</v>
      </c>
    </row>
    <row r="44" ht="34.2" customHeight="1" spans="1:66">
      <c r="A44" s="7">
        <v>103</v>
      </c>
      <c r="B44" s="7">
        <v>43</v>
      </c>
      <c r="C44" s="3" t="s">
        <v>109</v>
      </c>
      <c r="D44" s="6">
        <v>0.134</v>
      </c>
      <c r="E44" s="6">
        <v>5.154</v>
      </c>
      <c r="F44" s="6">
        <v>263</v>
      </c>
      <c r="G44" s="6">
        <f t="shared" si="1"/>
        <v>0.0195969581749049</v>
      </c>
      <c r="H44" s="6">
        <v>80.5</v>
      </c>
      <c r="I44" s="3" t="s">
        <v>67</v>
      </c>
      <c r="J44" s="3"/>
      <c r="K44" s="6">
        <v>1</v>
      </c>
      <c r="L44" s="6">
        <v>1</v>
      </c>
      <c r="M44" s="6">
        <v>1.353917</v>
      </c>
      <c r="N44" s="6">
        <v>0.614093</v>
      </c>
      <c r="O44" s="6">
        <v>2.20474260413325</v>
      </c>
      <c r="P44" s="6">
        <v>0.739824</v>
      </c>
      <c r="Q44" s="6">
        <v>0.966843827730355</v>
      </c>
      <c r="R44" s="6">
        <v>0.438637857142857</v>
      </c>
      <c r="S44" s="6">
        <v>0.023051927111</v>
      </c>
      <c r="T44" s="6">
        <v>0.000235572351</v>
      </c>
      <c r="U44" s="6">
        <v>0.112140264858425</v>
      </c>
      <c r="V44" s="6">
        <v>0.0249935537372312</v>
      </c>
      <c r="W44" s="6">
        <v>10.5857636220098</v>
      </c>
      <c r="X44" s="6">
        <v>4.7629201178399</v>
      </c>
      <c r="Y44" s="6">
        <v>15.3486837398497</v>
      </c>
      <c r="Z44" s="6">
        <v>1.238528</v>
      </c>
      <c r="AA44" s="6">
        <v>1.555588</v>
      </c>
      <c r="AB44" s="6">
        <v>2.201472</v>
      </c>
      <c r="AC44" s="6">
        <v>1.884412</v>
      </c>
      <c r="AD44" s="6">
        <v>0.31706</v>
      </c>
      <c r="AE44" s="6">
        <v>1.767</v>
      </c>
      <c r="AF44" s="6">
        <v>4.2598</v>
      </c>
      <c r="AG44" s="6">
        <v>0.915702462593609</v>
      </c>
      <c r="AH44" s="6">
        <v>0.438524754147357</v>
      </c>
      <c r="AI44" s="6">
        <v>0.717918853353218</v>
      </c>
      <c r="AJ44" s="6">
        <v>92.73187442824</v>
      </c>
      <c r="AK44" s="6">
        <v>59.568228326</v>
      </c>
      <c r="AL44" s="6">
        <v>144.56841</v>
      </c>
      <c r="AM44" s="6">
        <v>99.4804</v>
      </c>
      <c r="AN44" s="6">
        <v>5.808659120715</v>
      </c>
      <c r="AO44" s="6">
        <v>6.810123654</v>
      </c>
      <c r="AP44" s="6">
        <v>0</v>
      </c>
      <c r="AQ44" s="6">
        <v>0</v>
      </c>
      <c r="AR44" s="6">
        <v>0.3299</v>
      </c>
      <c r="AS44" s="6">
        <v>0.0134</v>
      </c>
      <c r="AT44" s="6">
        <v>0</v>
      </c>
      <c r="AU44" s="6">
        <v>0.1299</v>
      </c>
      <c r="AV44" s="6">
        <v>0</v>
      </c>
      <c r="AW44" s="6">
        <v>0</v>
      </c>
      <c r="AX44" s="6">
        <v>0.433</v>
      </c>
      <c r="AY44" s="6">
        <v>0</v>
      </c>
      <c r="AZ44" s="6">
        <v>0</v>
      </c>
      <c r="BA44" s="6">
        <v>0.0938</v>
      </c>
      <c r="BB44" s="6">
        <v>0</v>
      </c>
      <c r="BC44" s="6">
        <v>0</v>
      </c>
      <c r="BD44" s="6">
        <v>0</v>
      </c>
      <c r="BE44" s="6">
        <v>0</v>
      </c>
      <c r="BF44" s="6">
        <v>0.2598</v>
      </c>
      <c r="BG44" s="6">
        <v>0</v>
      </c>
      <c r="BH44" s="6">
        <v>0</v>
      </c>
      <c r="BI44" s="6">
        <v>0</v>
      </c>
      <c r="BJ44" s="6">
        <v>0.7402</v>
      </c>
      <c r="BK44" s="6">
        <v>0</v>
      </c>
      <c r="BL44" s="6">
        <v>0</v>
      </c>
      <c r="BM44" s="6">
        <v>0</v>
      </c>
      <c r="BN44" s="6">
        <v>0</v>
      </c>
    </row>
    <row r="45" ht="34.2" customHeight="1" spans="1:66">
      <c r="A45" s="7">
        <v>104</v>
      </c>
      <c r="B45" s="7">
        <v>44</v>
      </c>
      <c r="C45" s="3" t="s">
        <v>110</v>
      </c>
      <c r="D45" s="6">
        <v>0.136</v>
      </c>
      <c r="E45" s="6">
        <v>5.45</v>
      </c>
      <c r="F45" s="6">
        <v>278</v>
      </c>
      <c r="G45" s="6">
        <f t="shared" si="1"/>
        <v>0.0196043165467626</v>
      </c>
      <c r="H45" s="6">
        <v>80.6</v>
      </c>
      <c r="I45" s="3" t="s">
        <v>67</v>
      </c>
      <c r="J45" s="3"/>
      <c r="K45" s="6">
        <v>1</v>
      </c>
      <c r="L45" s="6">
        <v>1</v>
      </c>
      <c r="M45" s="6">
        <v>1.353968</v>
      </c>
      <c r="N45" s="6">
        <v>0.614072</v>
      </c>
      <c r="O45" s="6">
        <v>2.20490105394807</v>
      </c>
      <c r="P45" s="6">
        <v>0.739896</v>
      </c>
      <c r="Q45" s="6">
        <v>0.966871813902757</v>
      </c>
      <c r="R45" s="6">
        <v>0.438622857142857</v>
      </c>
      <c r="S45" s="6">
        <v>0.023026334976</v>
      </c>
      <c r="T45" s="6">
        <v>0.000235218816</v>
      </c>
      <c r="U45" s="6">
        <v>0.112073777139973</v>
      </c>
      <c r="V45" s="6">
        <v>0.0249756462550655</v>
      </c>
      <c r="W45" s="6">
        <v>10.6055537246187</v>
      </c>
      <c r="X45" s="6">
        <v>4.75768914455702</v>
      </c>
      <c r="Y45" s="6">
        <v>15.3632428691757</v>
      </c>
      <c r="Z45" s="6">
        <v>1.238312</v>
      </c>
      <c r="AA45" s="6">
        <v>1.555552</v>
      </c>
      <c r="AB45" s="6">
        <v>2.201688</v>
      </c>
      <c r="AC45" s="6">
        <v>1.884448</v>
      </c>
      <c r="AD45" s="6">
        <v>0.31724</v>
      </c>
      <c r="AE45" s="6">
        <v>1.768</v>
      </c>
      <c r="AF45" s="6">
        <v>4.2592</v>
      </c>
      <c r="AG45" s="6">
        <v>0.915082509941044</v>
      </c>
      <c r="AH45" s="6">
        <v>0.438195572775445</v>
      </c>
      <c r="AI45" s="6">
        <v>0.717422943597429</v>
      </c>
      <c r="AJ45" s="6">
        <v>92.76514464896</v>
      </c>
      <c r="AK45" s="6">
        <v>59.541204704</v>
      </c>
      <c r="AL45" s="6">
        <v>144.61264</v>
      </c>
      <c r="AM45" s="6">
        <v>99.4816</v>
      </c>
      <c r="AN45" s="6">
        <v>5.80922763536</v>
      </c>
      <c r="AO45" s="6">
        <v>6.810165216</v>
      </c>
      <c r="AP45" s="6">
        <v>0</v>
      </c>
      <c r="AQ45" s="6">
        <v>0</v>
      </c>
      <c r="AR45" s="6">
        <v>0.3296</v>
      </c>
      <c r="AS45" s="6">
        <v>0.0136</v>
      </c>
      <c r="AT45" s="6">
        <v>0</v>
      </c>
      <c r="AU45" s="6">
        <v>0.1296</v>
      </c>
      <c r="AV45" s="6">
        <v>0</v>
      </c>
      <c r="AW45" s="6">
        <v>0</v>
      </c>
      <c r="AX45" s="6">
        <v>0.432</v>
      </c>
      <c r="AY45" s="6">
        <v>0</v>
      </c>
      <c r="AZ45" s="6">
        <v>0</v>
      </c>
      <c r="BA45" s="6">
        <v>0.0952</v>
      </c>
      <c r="BB45" s="6">
        <v>0</v>
      </c>
      <c r="BC45" s="6">
        <v>0</v>
      </c>
      <c r="BD45" s="6">
        <v>0</v>
      </c>
      <c r="BE45" s="6">
        <v>0</v>
      </c>
      <c r="BF45" s="6">
        <v>0.2592</v>
      </c>
      <c r="BG45" s="6">
        <v>0</v>
      </c>
      <c r="BH45" s="6">
        <v>0</v>
      </c>
      <c r="BI45" s="6">
        <v>0</v>
      </c>
      <c r="BJ45" s="6">
        <v>0.7408</v>
      </c>
      <c r="BK45" s="6">
        <v>0</v>
      </c>
      <c r="BL45" s="6">
        <v>0</v>
      </c>
      <c r="BM45" s="6">
        <v>0</v>
      </c>
      <c r="BN45" s="6">
        <v>0</v>
      </c>
    </row>
    <row r="46" ht="34.2" customHeight="1" spans="1:66">
      <c r="A46" s="7">
        <v>105</v>
      </c>
      <c r="B46" s="7">
        <v>45</v>
      </c>
      <c r="C46" s="3" t="s">
        <v>111</v>
      </c>
      <c r="D46" s="6">
        <v>0.138</v>
      </c>
      <c r="E46" s="6">
        <v>5.384</v>
      </c>
      <c r="F46" s="6">
        <v>274</v>
      </c>
      <c r="G46" s="6">
        <f t="shared" si="1"/>
        <v>0.0196496350364964</v>
      </c>
      <c r="H46" s="6">
        <v>80.4</v>
      </c>
      <c r="I46" s="3" t="s">
        <v>67</v>
      </c>
      <c r="J46" s="3"/>
      <c r="K46" s="6">
        <v>1</v>
      </c>
      <c r="L46" s="6">
        <v>1</v>
      </c>
      <c r="M46" s="6">
        <v>1.354019</v>
      </c>
      <c r="N46" s="6">
        <v>0.614051</v>
      </c>
      <c r="O46" s="6">
        <v>2.20505951460058</v>
      </c>
      <c r="P46" s="6">
        <v>0.739968</v>
      </c>
      <c r="Q46" s="6">
        <v>0.966899800658769</v>
      </c>
      <c r="R46" s="6">
        <v>0.438607857142857</v>
      </c>
      <c r="S46" s="6">
        <v>0.023000737639</v>
      </c>
      <c r="T46" s="6">
        <v>0.000234864399</v>
      </c>
      <c r="U46" s="6">
        <v>0.112007247154802</v>
      </c>
      <c r="V46" s="6">
        <v>0.0249576765799591</v>
      </c>
      <c r="W46" s="6">
        <v>10.6251208950322</v>
      </c>
      <c r="X46" s="6">
        <v>4.75244258289304</v>
      </c>
      <c r="Y46" s="6">
        <v>15.3775634779252</v>
      </c>
      <c r="Z46" s="6">
        <v>1.238096</v>
      </c>
      <c r="AA46" s="6">
        <v>1.555516</v>
      </c>
      <c r="AB46" s="6">
        <v>2.201904</v>
      </c>
      <c r="AC46" s="6">
        <v>1.884484</v>
      </c>
      <c r="AD46" s="6">
        <v>0.31742</v>
      </c>
      <c r="AE46" s="6">
        <v>1.769</v>
      </c>
      <c r="AF46" s="6">
        <v>4.2586</v>
      </c>
      <c r="AG46" s="6">
        <v>0.914461043456746</v>
      </c>
      <c r="AH46" s="6">
        <v>0.437865321760013</v>
      </c>
      <c r="AI46" s="6">
        <v>0.716925742319245</v>
      </c>
      <c r="AJ46" s="6">
        <v>92.79841486968</v>
      </c>
      <c r="AK46" s="6">
        <v>59.514181082</v>
      </c>
      <c r="AL46" s="6">
        <v>144.65687</v>
      </c>
      <c r="AM46" s="6">
        <v>99.4828</v>
      </c>
      <c r="AN46" s="6">
        <v>5.809796150005</v>
      </c>
      <c r="AO46" s="6">
        <v>6.810206778</v>
      </c>
      <c r="AP46" s="6">
        <v>0</v>
      </c>
      <c r="AQ46" s="6">
        <v>0</v>
      </c>
      <c r="AR46" s="6">
        <v>0.3293</v>
      </c>
      <c r="AS46" s="6">
        <v>0.0138</v>
      </c>
      <c r="AT46" s="6">
        <v>0</v>
      </c>
      <c r="AU46" s="6">
        <v>0.1293</v>
      </c>
      <c r="AV46" s="6">
        <v>0</v>
      </c>
      <c r="AW46" s="6">
        <v>0</v>
      </c>
      <c r="AX46" s="6">
        <v>0.431</v>
      </c>
      <c r="AY46" s="6">
        <v>0</v>
      </c>
      <c r="AZ46" s="6">
        <v>0</v>
      </c>
      <c r="BA46" s="6">
        <v>0.0966</v>
      </c>
      <c r="BB46" s="6">
        <v>0</v>
      </c>
      <c r="BC46" s="6">
        <v>0</v>
      </c>
      <c r="BD46" s="6">
        <v>0</v>
      </c>
      <c r="BE46" s="6">
        <v>0</v>
      </c>
      <c r="BF46" s="6">
        <v>0.2586</v>
      </c>
      <c r="BG46" s="6">
        <v>0</v>
      </c>
      <c r="BH46" s="6">
        <v>0</v>
      </c>
      <c r="BI46" s="6">
        <v>0</v>
      </c>
      <c r="BJ46" s="6">
        <v>0.7414</v>
      </c>
      <c r="BK46" s="6">
        <v>0</v>
      </c>
      <c r="BL46" s="6">
        <v>0</v>
      </c>
      <c r="BM46" s="6">
        <v>0</v>
      </c>
      <c r="BN46" s="6">
        <v>0</v>
      </c>
    </row>
    <row r="47" ht="34.2" customHeight="1" spans="1:66">
      <c r="A47" s="7">
        <v>106</v>
      </c>
      <c r="B47" s="7">
        <v>46</v>
      </c>
      <c r="C47" s="3" t="s">
        <v>112</v>
      </c>
      <c r="D47" s="6">
        <v>0.14</v>
      </c>
      <c r="E47" s="6">
        <v>5.528</v>
      </c>
      <c r="F47" s="6">
        <v>280</v>
      </c>
      <c r="G47" s="6">
        <f t="shared" si="1"/>
        <v>0.0197428571428571</v>
      </c>
      <c r="H47" s="6">
        <v>81</v>
      </c>
      <c r="I47" s="3" t="s">
        <v>67</v>
      </c>
      <c r="J47" s="3"/>
      <c r="K47" s="6">
        <v>1</v>
      </c>
      <c r="L47" s="6">
        <v>1</v>
      </c>
      <c r="M47" s="6">
        <v>1.35407</v>
      </c>
      <c r="N47" s="6">
        <v>0.61403</v>
      </c>
      <c r="O47" s="6">
        <v>2.20521798609188</v>
      </c>
      <c r="P47" s="6">
        <v>0.74004</v>
      </c>
      <c r="Q47" s="6">
        <v>0.966927787998409</v>
      </c>
      <c r="R47" s="6">
        <v>0.438592857142857</v>
      </c>
      <c r="S47" s="6">
        <v>0.0229751351</v>
      </c>
      <c r="T47" s="6">
        <v>0.0002345091</v>
      </c>
      <c r="U47" s="6">
        <v>0.111940674828749</v>
      </c>
      <c r="V47" s="6">
        <v>0.02493964456747</v>
      </c>
      <c r="W47" s="6">
        <v>10.6444679087133</v>
      </c>
      <c r="X47" s="6">
        <v>4.74718040932461</v>
      </c>
      <c r="Y47" s="6">
        <v>15.3916483180379</v>
      </c>
      <c r="Z47" s="6">
        <v>1.23788</v>
      </c>
      <c r="AA47" s="6">
        <v>1.55548</v>
      </c>
      <c r="AB47" s="6">
        <v>2.20212</v>
      </c>
      <c r="AC47" s="6">
        <v>1.88452</v>
      </c>
      <c r="AD47" s="6">
        <v>0.3176</v>
      </c>
      <c r="AE47" s="6">
        <v>1.77</v>
      </c>
      <c r="AF47" s="6">
        <v>4.258</v>
      </c>
      <c r="AG47" s="6">
        <v>0.913838060052217</v>
      </c>
      <c r="AH47" s="6">
        <v>0.43753399867896</v>
      </c>
      <c r="AI47" s="6">
        <v>0.716427246829711</v>
      </c>
      <c r="AJ47" s="6">
        <v>92.8316850904</v>
      </c>
      <c r="AK47" s="6">
        <v>59.48715746</v>
      </c>
      <c r="AL47" s="6">
        <v>144.7011</v>
      </c>
      <c r="AM47" s="6">
        <v>99.484</v>
      </c>
      <c r="AN47" s="6">
        <v>5.81036466465</v>
      </c>
      <c r="AO47" s="6">
        <v>6.81024834</v>
      </c>
      <c r="AP47" s="6">
        <v>0</v>
      </c>
      <c r="AQ47" s="6">
        <v>0</v>
      </c>
      <c r="AR47" s="6">
        <v>0.329</v>
      </c>
      <c r="AS47" s="6">
        <v>0.014</v>
      </c>
      <c r="AT47" s="6">
        <v>0</v>
      </c>
      <c r="AU47" s="6">
        <v>0.129</v>
      </c>
      <c r="AV47" s="6">
        <v>0</v>
      </c>
      <c r="AW47" s="6">
        <v>0</v>
      </c>
      <c r="AX47" s="6">
        <v>0.43</v>
      </c>
      <c r="AY47" s="6">
        <v>0</v>
      </c>
      <c r="AZ47" s="6">
        <v>0</v>
      </c>
      <c r="BA47" s="6">
        <v>0.098</v>
      </c>
      <c r="BB47" s="6">
        <v>0</v>
      </c>
      <c r="BC47" s="6">
        <v>0</v>
      </c>
      <c r="BD47" s="6">
        <v>0</v>
      </c>
      <c r="BE47" s="6">
        <v>0</v>
      </c>
      <c r="BF47" s="6">
        <v>0.258</v>
      </c>
      <c r="BG47" s="6">
        <v>0</v>
      </c>
      <c r="BH47" s="6">
        <v>0</v>
      </c>
      <c r="BI47" s="6">
        <v>0</v>
      </c>
      <c r="BJ47" s="6">
        <v>0.742</v>
      </c>
      <c r="BK47" s="6">
        <v>0</v>
      </c>
      <c r="BL47" s="6">
        <v>0</v>
      </c>
      <c r="BM47" s="6">
        <v>0</v>
      </c>
      <c r="BN47" s="6">
        <v>0</v>
      </c>
    </row>
    <row r="48" ht="34.2" customHeight="1" spans="1:66">
      <c r="A48" s="7">
        <v>107</v>
      </c>
      <c r="B48" s="7">
        <v>47</v>
      </c>
      <c r="C48" s="3" t="s">
        <v>113</v>
      </c>
      <c r="D48" s="6">
        <v>0.142</v>
      </c>
      <c r="E48" s="6">
        <v>5.79</v>
      </c>
      <c r="F48" s="6">
        <v>290</v>
      </c>
      <c r="G48" s="6">
        <f t="shared" si="1"/>
        <v>0.0199655172413793</v>
      </c>
      <c r="H48" s="6">
        <v>80.9</v>
      </c>
      <c r="I48" s="3" t="s">
        <v>67</v>
      </c>
      <c r="J48" s="3"/>
      <c r="K48" s="6">
        <v>1</v>
      </c>
      <c r="L48" s="6">
        <v>1</v>
      </c>
      <c r="M48" s="6">
        <v>1.354121</v>
      </c>
      <c r="N48" s="6">
        <v>0.614009</v>
      </c>
      <c r="O48" s="6">
        <v>2.2053764684231</v>
      </c>
      <c r="P48" s="6">
        <v>0.740112</v>
      </c>
      <c r="Q48" s="6">
        <v>0.966955775921694</v>
      </c>
      <c r="R48" s="6">
        <v>0.438577857142857</v>
      </c>
      <c r="S48" s="6">
        <v>0.022949527359</v>
      </c>
      <c r="T48" s="6">
        <v>0.000234152919</v>
      </c>
      <c r="U48" s="6">
        <v>0.111874060087429</v>
      </c>
      <c r="V48" s="6">
        <v>0.0249215500722689</v>
      </c>
      <c r="W48" s="6">
        <v>10.6635974598265</v>
      </c>
      <c r="X48" s="6">
        <v>4.74190260019846</v>
      </c>
      <c r="Y48" s="6">
        <v>15.405500060025</v>
      </c>
      <c r="Z48" s="6">
        <v>1.237664</v>
      </c>
      <c r="AA48" s="6">
        <v>1.555444</v>
      </c>
      <c r="AB48" s="6">
        <v>2.202336</v>
      </c>
      <c r="AC48" s="6">
        <v>1.884556</v>
      </c>
      <c r="AD48" s="6">
        <v>0.31778</v>
      </c>
      <c r="AE48" s="6">
        <v>1.771</v>
      </c>
      <c r="AF48" s="6">
        <v>4.2574</v>
      </c>
      <c r="AG48" s="6">
        <v>0.913213556622984</v>
      </c>
      <c r="AH48" s="6">
        <v>0.437201601094964</v>
      </c>
      <c r="AI48" s="6">
        <v>0.715927454425377</v>
      </c>
      <c r="AJ48" s="6">
        <v>92.86495531112</v>
      </c>
      <c r="AK48" s="6">
        <v>59.460133838</v>
      </c>
      <c r="AL48" s="6">
        <v>144.74533</v>
      </c>
      <c r="AM48" s="6">
        <v>99.4852</v>
      </c>
      <c r="AN48" s="6">
        <v>5.810933179295</v>
      </c>
      <c r="AO48" s="6">
        <v>6.810289902</v>
      </c>
      <c r="AP48" s="6">
        <v>0</v>
      </c>
      <c r="AQ48" s="6">
        <v>0</v>
      </c>
      <c r="AR48" s="6">
        <v>0.3287</v>
      </c>
      <c r="AS48" s="6">
        <v>0.0142</v>
      </c>
      <c r="AT48" s="6">
        <v>0</v>
      </c>
      <c r="AU48" s="6">
        <v>0.1287</v>
      </c>
      <c r="AV48" s="6">
        <v>0</v>
      </c>
      <c r="AW48" s="6">
        <v>0</v>
      </c>
      <c r="AX48" s="6">
        <v>0.429</v>
      </c>
      <c r="AY48" s="6">
        <v>0</v>
      </c>
      <c r="AZ48" s="6">
        <v>0</v>
      </c>
      <c r="BA48" s="6">
        <v>0.0994</v>
      </c>
      <c r="BB48" s="6">
        <v>0</v>
      </c>
      <c r="BC48" s="6">
        <v>0</v>
      </c>
      <c r="BD48" s="6">
        <v>0</v>
      </c>
      <c r="BE48" s="6">
        <v>0</v>
      </c>
      <c r="BF48" s="6">
        <v>0.2574</v>
      </c>
      <c r="BG48" s="6">
        <v>0</v>
      </c>
      <c r="BH48" s="6">
        <v>0</v>
      </c>
      <c r="BI48" s="6">
        <v>0</v>
      </c>
      <c r="BJ48" s="6">
        <v>0.7426</v>
      </c>
      <c r="BK48" s="6">
        <v>0</v>
      </c>
      <c r="BL48" s="6">
        <v>0</v>
      </c>
      <c r="BM48" s="6">
        <v>0</v>
      </c>
      <c r="BN48" s="6">
        <v>0</v>
      </c>
    </row>
    <row r="49" ht="34.2" customHeight="1" spans="1:66">
      <c r="A49" s="7">
        <v>108</v>
      </c>
      <c r="B49" s="7">
        <v>48</v>
      </c>
      <c r="C49" s="3" t="s">
        <v>114</v>
      </c>
      <c r="D49" s="6">
        <v>0.144</v>
      </c>
      <c r="E49" s="6">
        <v>5.695</v>
      </c>
      <c r="F49" s="6">
        <v>295</v>
      </c>
      <c r="G49" s="6">
        <f t="shared" si="1"/>
        <v>0.0193050847457627</v>
      </c>
      <c r="H49" s="6">
        <v>81.4</v>
      </c>
      <c r="I49" s="3" t="s">
        <v>67</v>
      </c>
      <c r="J49" s="3"/>
      <c r="K49" s="6">
        <v>1</v>
      </c>
      <c r="L49" s="6">
        <v>1</v>
      </c>
      <c r="M49" s="6">
        <v>1.354172</v>
      </c>
      <c r="N49" s="6">
        <v>0.613988</v>
      </c>
      <c r="O49" s="6">
        <v>2.20553496159534</v>
      </c>
      <c r="P49" s="6">
        <v>0.740184</v>
      </c>
      <c r="Q49" s="6">
        <v>0.966983764428644</v>
      </c>
      <c r="R49" s="6">
        <v>0.438562857142857</v>
      </c>
      <c r="S49" s="6">
        <v>0.022923914416</v>
      </c>
      <c r="T49" s="6">
        <v>0.000233795856</v>
      </c>
      <c r="U49" s="6">
        <v>0.111807402856229</v>
      </c>
      <c r="V49" s="6">
        <v>0.0249033929481326</v>
      </c>
      <c r="W49" s="6">
        <v>10.6825121646594</v>
      </c>
      <c r="X49" s="6">
        <v>4.73660913173054</v>
      </c>
      <c r="Y49" s="6">
        <v>15.4191212963899</v>
      </c>
      <c r="Z49" s="6">
        <v>1.237448</v>
      </c>
      <c r="AA49" s="6">
        <v>1.555408</v>
      </c>
      <c r="AB49" s="6">
        <v>2.202552</v>
      </c>
      <c r="AC49" s="6">
        <v>1.884592</v>
      </c>
      <c r="AD49" s="6">
        <v>0.31796</v>
      </c>
      <c r="AE49" s="6">
        <v>1.772</v>
      </c>
      <c r="AF49" s="6">
        <v>4.2568</v>
      </c>
      <c r="AG49" s="6">
        <v>0.912587530048488</v>
      </c>
      <c r="AH49" s="6">
        <v>0.436868126555371</v>
      </c>
      <c r="AI49" s="6">
        <v>0.715426362388192</v>
      </c>
      <c r="AJ49" s="6">
        <v>92.89822553184</v>
      </c>
      <c r="AK49" s="6">
        <v>59.433110216</v>
      </c>
      <c r="AL49" s="6">
        <v>144.78956</v>
      </c>
      <c r="AM49" s="6">
        <v>99.4864</v>
      </c>
      <c r="AN49" s="6">
        <v>5.81150169394</v>
      </c>
      <c r="AO49" s="6">
        <v>6.810331464</v>
      </c>
      <c r="AP49" s="6">
        <v>0</v>
      </c>
      <c r="AQ49" s="6">
        <v>0</v>
      </c>
      <c r="AR49" s="6">
        <v>0.3284</v>
      </c>
      <c r="AS49" s="6">
        <v>0.0144</v>
      </c>
      <c r="AT49" s="6">
        <v>0</v>
      </c>
      <c r="AU49" s="6">
        <v>0.1284</v>
      </c>
      <c r="AV49" s="6">
        <v>0</v>
      </c>
      <c r="AW49" s="6">
        <v>0</v>
      </c>
      <c r="AX49" s="6">
        <v>0.428</v>
      </c>
      <c r="AY49" s="6">
        <v>0</v>
      </c>
      <c r="AZ49" s="6">
        <v>0</v>
      </c>
      <c r="BA49" s="6">
        <v>0.1008</v>
      </c>
      <c r="BB49" s="6">
        <v>0</v>
      </c>
      <c r="BC49" s="6">
        <v>0</v>
      </c>
      <c r="BD49" s="6">
        <v>0</v>
      </c>
      <c r="BE49" s="6">
        <v>0</v>
      </c>
      <c r="BF49" s="6">
        <v>0.2568</v>
      </c>
      <c r="BG49" s="6">
        <v>0</v>
      </c>
      <c r="BH49" s="6">
        <v>0</v>
      </c>
      <c r="BI49" s="6">
        <v>0</v>
      </c>
      <c r="BJ49" s="6">
        <v>0.7432</v>
      </c>
      <c r="BK49" s="6">
        <v>0</v>
      </c>
      <c r="BL49" s="6">
        <v>0</v>
      </c>
      <c r="BM49" s="6">
        <v>0</v>
      </c>
      <c r="BN49" s="6">
        <v>0</v>
      </c>
    </row>
    <row r="50" ht="34.2" customHeight="1" spans="1:66">
      <c r="A50" s="7">
        <v>109</v>
      </c>
      <c r="B50" s="7">
        <v>49</v>
      </c>
      <c r="C50" s="3" t="s">
        <v>115</v>
      </c>
      <c r="D50" s="6">
        <v>0.146</v>
      </c>
      <c r="E50" s="6">
        <v>5.7</v>
      </c>
      <c r="F50" s="6">
        <v>291</v>
      </c>
      <c r="G50" s="6">
        <f t="shared" si="1"/>
        <v>0.0195876288659794</v>
      </c>
      <c r="H50" s="6">
        <v>82.3</v>
      </c>
      <c r="I50" s="3" t="s">
        <v>67</v>
      </c>
      <c r="J50" s="3"/>
      <c r="K50" s="6">
        <v>1</v>
      </c>
      <c r="L50" s="6">
        <v>1</v>
      </c>
      <c r="M50" s="6">
        <v>1.354223</v>
      </c>
      <c r="N50" s="6">
        <v>0.613967</v>
      </c>
      <c r="O50" s="6">
        <v>2.20569346560971</v>
      </c>
      <c r="P50" s="6">
        <v>0.740256</v>
      </c>
      <c r="Q50" s="6">
        <v>0.967011753519276</v>
      </c>
      <c r="R50" s="6">
        <v>0.438547857142857</v>
      </c>
      <c r="S50" s="6">
        <v>0.022898296271</v>
      </c>
      <c r="T50" s="6">
        <v>0.000233437911</v>
      </c>
      <c r="U50" s="6">
        <v>0.11174070306031</v>
      </c>
      <c r="V50" s="6">
        <v>0.0248851730479368</v>
      </c>
      <c r="W50" s="6">
        <v>10.7012145648548</v>
      </c>
      <c r="X50" s="6">
        <v>4.73129998000519</v>
      </c>
      <c r="Y50" s="6">
        <v>15.43251454486</v>
      </c>
      <c r="Z50" s="6">
        <v>1.237232</v>
      </c>
      <c r="AA50" s="6">
        <v>1.555372</v>
      </c>
      <c r="AB50" s="6">
        <v>2.202768</v>
      </c>
      <c r="AC50" s="6">
        <v>1.884628</v>
      </c>
      <c r="AD50" s="6">
        <v>0.31814</v>
      </c>
      <c r="AE50" s="6">
        <v>1.773</v>
      </c>
      <c r="AF50" s="6">
        <v>4.2562</v>
      </c>
      <c r="AG50" s="6">
        <v>0.911959977191982</v>
      </c>
      <c r="AH50" s="6">
        <v>0.436533572592075</v>
      </c>
      <c r="AI50" s="6">
        <v>0.714923967985407</v>
      </c>
      <c r="AJ50" s="6">
        <v>92.93149575256</v>
      </c>
      <c r="AK50" s="6">
        <v>59.406086594</v>
      </c>
      <c r="AL50" s="6">
        <v>144.83379</v>
      </c>
      <c r="AM50" s="6">
        <v>99.4876</v>
      </c>
      <c r="AN50" s="6">
        <v>5.812070208585</v>
      </c>
      <c r="AO50" s="6">
        <v>6.810373026</v>
      </c>
      <c r="AP50" s="6">
        <v>0</v>
      </c>
      <c r="AQ50" s="6">
        <v>0</v>
      </c>
      <c r="AR50" s="6">
        <v>0.3281</v>
      </c>
      <c r="AS50" s="6">
        <v>0.0146</v>
      </c>
      <c r="AT50" s="6">
        <v>0</v>
      </c>
      <c r="AU50" s="6">
        <v>0.1281</v>
      </c>
      <c r="AV50" s="6">
        <v>0</v>
      </c>
      <c r="AW50" s="6">
        <v>0</v>
      </c>
      <c r="AX50" s="6">
        <v>0.427</v>
      </c>
      <c r="AY50" s="6">
        <v>0</v>
      </c>
      <c r="AZ50" s="6">
        <v>0</v>
      </c>
      <c r="BA50" s="6">
        <v>0.1022</v>
      </c>
      <c r="BB50" s="6">
        <v>0</v>
      </c>
      <c r="BC50" s="6">
        <v>0</v>
      </c>
      <c r="BD50" s="6">
        <v>0</v>
      </c>
      <c r="BE50" s="6">
        <v>0</v>
      </c>
      <c r="BF50" s="6">
        <v>0.2562</v>
      </c>
      <c r="BG50" s="6">
        <v>0</v>
      </c>
      <c r="BH50" s="6">
        <v>0</v>
      </c>
      <c r="BI50" s="6">
        <v>0</v>
      </c>
      <c r="BJ50" s="6">
        <v>0.7438</v>
      </c>
      <c r="BK50" s="6">
        <v>0</v>
      </c>
      <c r="BL50" s="6">
        <v>0</v>
      </c>
      <c r="BM50" s="6">
        <v>0</v>
      </c>
      <c r="BN50" s="6">
        <v>0</v>
      </c>
    </row>
    <row r="51" ht="34.2" customHeight="1" spans="1:66">
      <c r="A51" s="7">
        <v>110</v>
      </c>
      <c r="B51" s="7">
        <v>50</v>
      </c>
      <c r="C51" s="3" t="s">
        <v>116</v>
      </c>
      <c r="D51" s="6">
        <v>0.148</v>
      </c>
      <c r="E51" s="6">
        <v>5.73</v>
      </c>
      <c r="F51" s="6">
        <v>305</v>
      </c>
      <c r="G51" s="6">
        <f t="shared" si="1"/>
        <v>0.0187868852459016</v>
      </c>
      <c r="H51" s="6">
        <v>82.5</v>
      </c>
      <c r="I51" s="3" t="s">
        <v>67</v>
      </c>
      <c r="J51" s="3"/>
      <c r="K51" s="6">
        <v>1</v>
      </c>
      <c r="L51" s="6">
        <v>1</v>
      </c>
      <c r="M51" s="6">
        <v>1.354274</v>
      </c>
      <c r="N51" s="6">
        <v>0.613946</v>
      </c>
      <c r="O51" s="6">
        <v>2.20585198046734</v>
      </c>
      <c r="P51" s="6">
        <v>0.740328</v>
      </c>
      <c r="Q51" s="6">
        <v>0.967039743193609</v>
      </c>
      <c r="R51" s="6">
        <v>0.438532857142857</v>
      </c>
      <c r="S51" s="6">
        <v>0.022872672924</v>
      </c>
      <c r="T51" s="6">
        <v>0.000233079084</v>
      </c>
      <c r="U51" s="6">
        <v>0.111673960624605</v>
      </c>
      <c r="V51" s="6">
        <v>0.0248668902236496</v>
      </c>
      <c r="W51" s="6">
        <v>10.7197071304654</v>
      </c>
      <c r="X51" s="6">
        <v>4.72597512097423</v>
      </c>
      <c r="Y51" s="6">
        <v>15.4456822514396</v>
      </c>
      <c r="Z51" s="6">
        <v>1.237016</v>
      </c>
      <c r="AA51" s="6">
        <v>1.555336</v>
      </c>
      <c r="AB51" s="6">
        <v>2.202984</v>
      </c>
      <c r="AC51" s="6">
        <v>1.884664</v>
      </c>
      <c r="AD51" s="6">
        <v>0.31832</v>
      </c>
      <c r="AE51" s="6">
        <v>1.774</v>
      </c>
      <c r="AF51" s="6">
        <v>4.2556</v>
      </c>
      <c r="AG51" s="6">
        <v>0.91133089490042</v>
      </c>
      <c r="AH51" s="6">
        <v>0.436197936721393</v>
      </c>
      <c r="AI51" s="6">
        <v>0.714420268469477</v>
      </c>
      <c r="AJ51" s="6">
        <v>92.96476597328</v>
      </c>
      <c r="AK51" s="6">
        <v>59.379062972</v>
      </c>
      <c r="AL51" s="6">
        <v>144.87802</v>
      </c>
      <c r="AM51" s="6">
        <v>99.4888</v>
      </c>
      <c r="AN51" s="6">
        <v>5.81263872323</v>
      </c>
      <c r="AO51" s="6">
        <v>6.810414588</v>
      </c>
      <c r="AP51" s="6">
        <v>0</v>
      </c>
      <c r="AQ51" s="6">
        <v>0</v>
      </c>
      <c r="AR51" s="6">
        <v>0.3278</v>
      </c>
      <c r="AS51" s="6">
        <v>0.0148</v>
      </c>
      <c r="AT51" s="6">
        <v>0</v>
      </c>
      <c r="AU51" s="6">
        <v>0.1278</v>
      </c>
      <c r="AV51" s="6">
        <v>0</v>
      </c>
      <c r="AW51" s="6">
        <v>0</v>
      </c>
      <c r="AX51" s="6">
        <v>0.426</v>
      </c>
      <c r="AY51" s="6">
        <v>0</v>
      </c>
      <c r="AZ51" s="6">
        <v>0</v>
      </c>
      <c r="BA51" s="6">
        <v>0.1036</v>
      </c>
      <c r="BB51" s="6">
        <v>0</v>
      </c>
      <c r="BC51" s="6">
        <v>0</v>
      </c>
      <c r="BD51" s="6">
        <v>0</v>
      </c>
      <c r="BE51" s="6">
        <v>0</v>
      </c>
      <c r="BF51" s="6">
        <v>0.2556</v>
      </c>
      <c r="BG51" s="6">
        <v>0</v>
      </c>
      <c r="BH51" s="6">
        <v>0</v>
      </c>
      <c r="BI51" s="6">
        <v>0</v>
      </c>
      <c r="BJ51" s="6">
        <v>0.7444</v>
      </c>
      <c r="BK51" s="6">
        <v>0</v>
      </c>
      <c r="BL51" s="6">
        <v>0</v>
      </c>
      <c r="BM51" s="6">
        <v>0</v>
      </c>
      <c r="BN51" s="6">
        <v>0</v>
      </c>
    </row>
    <row r="52" ht="34.2" customHeight="1" spans="1:66">
      <c r="A52" s="7">
        <v>111</v>
      </c>
      <c r="B52" s="7">
        <v>51</v>
      </c>
      <c r="C52" s="3" t="s">
        <v>117</v>
      </c>
      <c r="D52" s="6">
        <v>0.15</v>
      </c>
      <c r="E52" s="6">
        <v>5.94</v>
      </c>
      <c r="F52" s="6">
        <v>314</v>
      </c>
      <c r="G52" s="6">
        <f t="shared" si="1"/>
        <v>0.0189171974522293</v>
      </c>
      <c r="H52" s="6">
        <v>82.87</v>
      </c>
      <c r="I52" s="3" t="s">
        <v>67</v>
      </c>
      <c r="J52" s="3"/>
      <c r="K52" s="6">
        <v>1</v>
      </c>
      <c r="L52" s="6">
        <v>1</v>
      </c>
      <c r="M52" s="6">
        <v>1.354325</v>
      </c>
      <c r="N52" s="6">
        <v>0.613925</v>
      </c>
      <c r="O52" s="6">
        <v>2.20601050616932</v>
      </c>
      <c r="P52" s="6">
        <v>0.7404</v>
      </c>
      <c r="Q52" s="6">
        <v>0.967067733451662</v>
      </c>
      <c r="R52" s="6">
        <v>0.438517857142857</v>
      </c>
      <c r="S52" s="6">
        <v>0.022847044375</v>
      </c>
      <c r="T52" s="6">
        <v>0.000232719375</v>
      </c>
      <c r="U52" s="6">
        <v>0.111607175473818</v>
      </c>
      <c r="V52" s="6">
        <v>0.0248485443263237</v>
      </c>
      <c r="W52" s="6">
        <v>10.7379922628432</v>
      </c>
      <c r="X52" s="6">
        <v>4.72063453045608</v>
      </c>
      <c r="Y52" s="6">
        <v>15.4586267932992</v>
      </c>
      <c r="Z52" s="6">
        <v>1.2368</v>
      </c>
      <c r="AA52" s="6">
        <v>1.5553</v>
      </c>
      <c r="AB52" s="6">
        <v>2.2032</v>
      </c>
      <c r="AC52" s="6">
        <v>1.8847</v>
      </c>
      <c r="AD52" s="6">
        <v>0.3185</v>
      </c>
      <c r="AE52" s="6">
        <v>1.775</v>
      </c>
      <c r="AF52" s="6">
        <v>4.255</v>
      </c>
      <c r="AG52" s="6">
        <v>0.910700280004349</v>
      </c>
      <c r="AH52" s="6">
        <v>0.43586121644395</v>
      </c>
      <c r="AI52" s="6">
        <v>0.713915261077952</v>
      </c>
      <c r="AJ52" s="6">
        <v>92.998036194</v>
      </c>
      <c r="AK52" s="6">
        <v>59.35203935</v>
      </c>
      <c r="AL52" s="6">
        <v>144.92225</v>
      </c>
      <c r="AM52" s="6">
        <v>99.49</v>
      </c>
      <c r="AN52" s="6">
        <v>5.813207237875</v>
      </c>
      <c r="AO52" s="6">
        <v>6.81045615</v>
      </c>
      <c r="AP52" s="6">
        <v>0</v>
      </c>
      <c r="AQ52" s="6">
        <v>0</v>
      </c>
      <c r="AR52" s="6">
        <v>0.3275</v>
      </c>
      <c r="AS52" s="6">
        <v>0.015</v>
      </c>
      <c r="AT52" s="6">
        <v>0</v>
      </c>
      <c r="AU52" s="6">
        <v>0.1275</v>
      </c>
      <c r="AV52" s="6">
        <v>0</v>
      </c>
      <c r="AW52" s="6">
        <v>0</v>
      </c>
      <c r="AX52" s="6">
        <v>0.425</v>
      </c>
      <c r="AY52" s="6">
        <v>0</v>
      </c>
      <c r="AZ52" s="6">
        <v>0</v>
      </c>
      <c r="BA52" s="6">
        <v>0.105</v>
      </c>
      <c r="BB52" s="6">
        <v>0</v>
      </c>
      <c r="BC52" s="6">
        <v>0</v>
      </c>
      <c r="BD52" s="6">
        <v>0</v>
      </c>
      <c r="BE52" s="6">
        <v>0</v>
      </c>
      <c r="BF52" s="6">
        <v>0.255</v>
      </c>
      <c r="BG52" s="6">
        <v>0</v>
      </c>
      <c r="BH52" s="6">
        <v>0</v>
      </c>
      <c r="BI52" s="6">
        <v>0</v>
      </c>
      <c r="BJ52" s="6">
        <v>0.745</v>
      </c>
      <c r="BK52" s="6">
        <v>0</v>
      </c>
      <c r="BL52" s="6">
        <v>0</v>
      </c>
      <c r="BM52" s="6">
        <v>0</v>
      </c>
      <c r="BN52" s="6">
        <v>0</v>
      </c>
    </row>
    <row r="53" ht="34.2" customHeight="1" spans="1:66">
      <c r="A53" s="7">
        <v>112</v>
      </c>
      <c r="B53" s="7">
        <v>52</v>
      </c>
      <c r="C53" s="3" t="s">
        <v>118</v>
      </c>
      <c r="D53" s="6">
        <v>0.152</v>
      </c>
      <c r="E53" s="6">
        <v>6.07</v>
      </c>
      <c r="F53" s="6">
        <v>318</v>
      </c>
      <c r="G53" s="6">
        <f t="shared" si="1"/>
        <v>0.0190880503144654</v>
      </c>
      <c r="H53" s="6">
        <v>83.21</v>
      </c>
      <c r="I53" s="3" t="s">
        <v>67</v>
      </c>
      <c r="J53" s="3"/>
      <c r="K53" s="6">
        <v>1</v>
      </c>
      <c r="L53" s="6">
        <v>1</v>
      </c>
      <c r="M53" s="6">
        <v>1.354376</v>
      </c>
      <c r="N53" s="6">
        <v>0.613904</v>
      </c>
      <c r="O53" s="6">
        <v>2.20616904271678</v>
      </c>
      <c r="P53" s="6">
        <v>0.740472</v>
      </c>
      <c r="Q53" s="6">
        <v>0.967095724293451</v>
      </c>
      <c r="R53" s="6">
        <v>0.438502857142857</v>
      </c>
      <c r="S53" s="6">
        <v>0.022821410624</v>
      </c>
      <c r="T53" s="6">
        <v>0.000232358784</v>
      </c>
      <c r="U53" s="6">
        <v>0.111540347532425</v>
      </c>
      <c r="V53" s="6">
        <v>0.0248301352060899</v>
      </c>
      <c r="W53" s="6">
        <v>10.7560722973743</v>
      </c>
      <c r="X53" s="6">
        <v>4.7152781841349</v>
      </c>
      <c r="Y53" s="6">
        <v>15.4713504815092</v>
      </c>
      <c r="Z53" s="6">
        <v>1.236584</v>
      </c>
      <c r="AA53" s="6">
        <v>1.555264</v>
      </c>
      <c r="AB53" s="6">
        <v>2.203416</v>
      </c>
      <c r="AC53" s="6">
        <v>1.884736</v>
      </c>
      <c r="AD53" s="6">
        <v>0.31868</v>
      </c>
      <c r="AE53" s="6">
        <v>1.776</v>
      </c>
      <c r="AF53" s="6">
        <v>4.2544</v>
      </c>
      <c r="AG53" s="6">
        <v>0.9100681293178</v>
      </c>
      <c r="AH53" s="6">
        <v>0.435523409244555</v>
      </c>
      <c r="AI53" s="6">
        <v>0.713408943033377</v>
      </c>
      <c r="AJ53" s="6">
        <v>93.03130641472</v>
      </c>
      <c r="AK53" s="6">
        <v>59.325015728</v>
      </c>
      <c r="AL53" s="6">
        <v>144.96648</v>
      </c>
      <c r="AM53" s="6">
        <v>99.4912</v>
      </c>
      <c r="AN53" s="6">
        <v>5.81377575252</v>
      </c>
      <c r="AO53" s="6">
        <v>6.810497712</v>
      </c>
      <c r="AP53" s="6">
        <v>0</v>
      </c>
      <c r="AQ53" s="6">
        <v>0</v>
      </c>
      <c r="AR53" s="6">
        <v>0.3272</v>
      </c>
      <c r="AS53" s="6">
        <v>0.0152</v>
      </c>
      <c r="AT53" s="6">
        <v>0</v>
      </c>
      <c r="AU53" s="6">
        <v>0.1272</v>
      </c>
      <c r="AV53" s="6">
        <v>0</v>
      </c>
      <c r="AW53" s="6">
        <v>0</v>
      </c>
      <c r="AX53" s="6">
        <v>0.424</v>
      </c>
      <c r="AY53" s="6">
        <v>0</v>
      </c>
      <c r="AZ53" s="6">
        <v>0</v>
      </c>
      <c r="BA53" s="6">
        <v>0.1064</v>
      </c>
      <c r="BB53" s="6">
        <v>0</v>
      </c>
      <c r="BC53" s="6">
        <v>0</v>
      </c>
      <c r="BD53" s="6">
        <v>0</v>
      </c>
      <c r="BE53" s="6">
        <v>0</v>
      </c>
      <c r="BF53" s="6">
        <v>0.2544</v>
      </c>
      <c r="BG53" s="6">
        <v>0</v>
      </c>
      <c r="BH53" s="6">
        <v>0</v>
      </c>
      <c r="BI53" s="6">
        <v>0</v>
      </c>
      <c r="BJ53" s="6">
        <v>0.7456</v>
      </c>
      <c r="BK53" s="6">
        <v>0</v>
      </c>
      <c r="BL53" s="6">
        <v>0</v>
      </c>
      <c r="BM53" s="6">
        <v>0</v>
      </c>
      <c r="BN53" s="6">
        <v>0</v>
      </c>
    </row>
    <row r="54" ht="34.2" customHeight="1" spans="1:66">
      <c r="A54" s="7">
        <v>113</v>
      </c>
      <c r="B54" s="7">
        <v>53</v>
      </c>
      <c r="C54" s="3" t="s">
        <v>119</v>
      </c>
      <c r="D54" s="6">
        <v>0.154</v>
      </c>
      <c r="E54" s="6">
        <v>6.227</v>
      </c>
      <c r="F54" s="6">
        <v>324</v>
      </c>
      <c r="G54" s="6">
        <f t="shared" si="1"/>
        <v>0.0192191358024691</v>
      </c>
      <c r="H54" s="6">
        <v>83.56</v>
      </c>
      <c r="I54" s="3" t="s">
        <v>67</v>
      </c>
      <c r="J54" s="3"/>
      <c r="K54" s="6">
        <v>1</v>
      </c>
      <c r="L54" s="6">
        <v>1</v>
      </c>
      <c r="M54" s="6">
        <v>1.354427</v>
      </c>
      <c r="N54" s="6">
        <v>0.613883</v>
      </c>
      <c r="O54" s="6">
        <v>2.20632759011082</v>
      </c>
      <c r="P54" s="6">
        <v>0.740544</v>
      </c>
      <c r="Q54" s="6">
        <v>0.967123715718996</v>
      </c>
      <c r="R54" s="6">
        <v>0.438487857142857</v>
      </c>
      <c r="S54" s="6">
        <v>0.022795771671</v>
      </c>
      <c r="T54" s="6">
        <v>0.000231997311</v>
      </c>
      <c r="U54" s="6">
        <v>0.111473476724668</v>
      </c>
      <c r="V54" s="6">
        <v>0.0248116627121497</v>
      </c>
      <c r="W54" s="6">
        <v>10.7739495060704</v>
      </c>
      <c r="X54" s="6">
        <v>4.70990605755963</v>
      </c>
      <c r="Y54" s="6">
        <v>15.48385556363</v>
      </c>
      <c r="Z54" s="6">
        <v>1.236368</v>
      </c>
      <c r="AA54" s="6">
        <v>1.555228</v>
      </c>
      <c r="AB54" s="6">
        <v>2.203632</v>
      </c>
      <c r="AC54" s="6">
        <v>1.884772</v>
      </c>
      <c r="AD54" s="6">
        <v>0.31886</v>
      </c>
      <c r="AE54" s="6">
        <v>1.777</v>
      </c>
      <c r="AF54" s="6">
        <v>4.2538</v>
      </c>
      <c r="AG54" s="6">
        <v>0.909434439638174</v>
      </c>
      <c r="AH54" s="6">
        <v>0.435184512592073</v>
      </c>
      <c r="AI54" s="6">
        <v>0.71290131154319</v>
      </c>
      <c r="AJ54" s="6">
        <v>93.06457663544</v>
      </c>
      <c r="AK54" s="6">
        <v>59.297992106</v>
      </c>
      <c r="AL54" s="6">
        <v>145.01071</v>
      </c>
      <c r="AM54" s="6">
        <v>99.4924</v>
      </c>
      <c r="AN54" s="6">
        <v>5.814344267165</v>
      </c>
      <c r="AO54" s="6">
        <v>6.810539274</v>
      </c>
      <c r="AP54" s="6">
        <v>0</v>
      </c>
      <c r="AQ54" s="6">
        <v>0</v>
      </c>
      <c r="AR54" s="6">
        <v>0.3269</v>
      </c>
      <c r="AS54" s="6">
        <v>0.0154</v>
      </c>
      <c r="AT54" s="6">
        <v>0</v>
      </c>
      <c r="AU54" s="6">
        <v>0.1269</v>
      </c>
      <c r="AV54" s="6">
        <v>0</v>
      </c>
      <c r="AW54" s="6">
        <v>0</v>
      </c>
      <c r="AX54" s="6">
        <v>0.423</v>
      </c>
      <c r="AY54" s="6">
        <v>0</v>
      </c>
      <c r="AZ54" s="6">
        <v>0</v>
      </c>
      <c r="BA54" s="6">
        <v>0.1078</v>
      </c>
      <c r="BB54" s="6">
        <v>0</v>
      </c>
      <c r="BC54" s="6">
        <v>0</v>
      </c>
      <c r="BD54" s="6">
        <v>0</v>
      </c>
      <c r="BE54" s="6">
        <v>0</v>
      </c>
      <c r="BF54" s="6">
        <v>0.2538</v>
      </c>
      <c r="BG54" s="6">
        <v>0</v>
      </c>
      <c r="BH54" s="6">
        <v>0</v>
      </c>
      <c r="BI54" s="6">
        <v>0</v>
      </c>
      <c r="BJ54" s="6">
        <v>0.7462</v>
      </c>
      <c r="BK54" s="6">
        <v>0</v>
      </c>
      <c r="BL54" s="6">
        <v>0</v>
      </c>
      <c r="BM54" s="6">
        <v>0</v>
      </c>
      <c r="BN54" s="6">
        <v>0</v>
      </c>
    </row>
    <row r="55" ht="34.2" customHeight="1" spans="1:66">
      <c r="A55" s="7">
        <v>114</v>
      </c>
      <c r="B55" s="7">
        <v>54</v>
      </c>
      <c r="C55" s="3" t="s">
        <v>120</v>
      </c>
      <c r="D55" s="6">
        <v>0.156</v>
      </c>
      <c r="E55" s="6">
        <v>6.405</v>
      </c>
      <c r="F55" s="6">
        <v>331</v>
      </c>
      <c r="G55" s="6">
        <f t="shared" si="1"/>
        <v>0.0193504531722054</v>
      </c>
      <c r="H55" s="6">
        <v>84.1</v>
      </c>
      <c r="I55" s="3" t="s">
        <v>67</v>
      </c>
      <c r="J55" s="3"/>
      <c r="K55" s="6">
        <v>1</v>
      </c>
      <c r="L55" s="6">
        <v>1</v>
      </c>
      <c r="M55" s="6">
        <v>1.354478</v>
      </c>
      <c r="N55" s="6">
        <v>0.613862</v>
      </c>
      <c r="O55" s="6">
        <v>2.20648614835256</v>
      </c>
      <c r="P55" s="6">
        <v>0.740616</v>
      </c>
      <c r="Q55" s="6">
        <v>0.967151707728314</v>
      </c>
      <c r="R55" s="6">
        <v>0.438472857142857</v>
      </c>
      <c r="S55" s="6">
        <v>0.022770127516</v>
      </c>
      <c r="T55" s="6">
        <v>0.000231634956</v>
      </c>
      <c r="U55" s="6">
        <v>0.111406562974562</v>
      </c>
      <c r="V55" s="6">
        <v>0.0247931266927676</v>
      </c>
      <c r="W55" s="6">
        <v>10.7916261000249</v>
      </c>
      <c r="X55" s="6">
        <v>4.70451812614314</v>
      </c>
      <c r="Y55" s="6">
        <v>15.496144226168</v>
      </c>
      <c r="Z55" s="6">
        <v>1.236152</v>
      </c>
      <c r="AA55" s="6">
        <v>1.555192</v>
      </c>
      <c r="AB55" s="6">
        <v>2.203848</v>
      </c>
      <c r="AC55" s="6">
        <v>1.884808</v>
      </c>
      <c r="AD55" s="6">
        <v>0.31904</v>
      </c>
      <c r="AE55" s="6">
        <v>1.778</v>
      </c>
      <c r="AF55" s="6">
        <v>4.2532</v>
      </c>
      <c r="AG55" s="6">
        <v>0.908799207746134</v>
      </c>
      <c r="AH55" s="6">
        <v>0.434844523939304</v>
      </c>
      <c r="AI55" s="6">
        <v>0.712392363799613</v>
      </c>
      <c r="AJ55" s="6">
        <v>93.09784685616</v>
      </c>
      <c r="AK55" s="6">
        <v>59.270968484</v>
      </c>
      <c r="AL55" s="6">
        <v>145.05494</v>
      </c>
      <c r="AM55" s="6">
        <v>99.4936</v>
      </c>
      <c r="AN55" s="6">
        <v>5.81491278181</v>
      </c>
      <c r="AO55" s="6">
        <v>6.810580836</v>
      </c>
      <c r="AP55" s="6">
        <v>0</v>
      </c>
      <c r="AQ55" s="6">
        <v>0</v>
      </c>
      <c r="AR55" s="6">
        <v>0.3266</v>
      </c>
      <c r="AS55" s="6">
        <v>0.0156</v>
      </c>
      <c r="AT55" s="6">
        <v>0</v>
      </c>
      <c r="AU55" s="6">
        <v>0.1266</v>
      </c>
      <c r="AV55" s="6">
        <v>0</v>
      </c>
      <c r="AW55" s="6">
        <v>0</v>
      </c>
      <c r="AX55" s="6">
        <v>0.422</v>
      </c>
      <c r="AY55" s="6">
        <v>0</v>
      </c>
      <c r="AZ55" s="6">
        <v>0</v>
      </c>
      <c r="BA55" s="6">
        <v>0.1092</v>
      </c>
      <c r="BB55" s="6">
        <v>0</v>
      </c>
      <c r="BC55" s="6">
        <v>0</v>
      </c>
      <c r="BD55" s="6">
        <v>0</v>
      </c>
      <c r="BE55" s="6">
        <v>0</v>
      </c>
      <c r="BF55" s="6">
        <v>0.2532</v>
      </c>
      <c r="BG55" s="6">
        <v>0</v>
      </c>
      <c r="BH55" s="6">
        <v>0</v>
      </c>
      <c r="BI55" s="6">
        <v>0</v>
      </c>
      <c r="BJ55" s="6">
        <v>0.7468</v>
      </c>
      <c r="BK55" s="6">
        <v>0</v>
      </c>
      <c r="BL55" s="6">
        <v>0</v>
      </c>
      <c r="BM55" s="6">
        <v>0</v>
      </c>
      <c r="BN55" s="6">
        <v>0</v>
      </c>
    </row>
    <row r="56" ht="34.2" customHeight="1" spans="1:66">
      <c r="A56" s="7">
        <v>115</v>
      </c>
      <c r="B56" s="7">
        <v>55</v>
      </c>
      <c r="C56" s="3" t="s">
        <v>121</v>
      </c>
      <c r="D56" s="6">
        <v>0.158</v>
      </c>
      <c r="E56" s="6">
        <v>6.61</v>
      </c>
      <c r="F56" s="6">
        <v>338</v>
      </c>
      <c r="G56" s="6">
        <f t="shared" si="1"/>
        <v>0.0195562130177515</v>
      </c>
      <c r="H56" s="6">
        <v>84.05</v>
      </c>
      <c r="I56" s="3" t="s">
        <v>67</v>
      </c>
      <c r="J56" s="3"/>
      <c r="K56" s="6">
        <v>1</v>
      </c>
      <c r="L56" s="6">
        <v>1</v>
      </c>
      <c r="M56" s="6">
        <v>1.354529</v>
      </c>
      <c r="N56" s="6">
        <v>0.613841</v>
      </c>
      <c r="O56" s="6">
        <v>2.20664471744312</v>
      </c>
      <c r="P56" s="6">
        <v>0.740688</v>
      </c>
      <c r="Q56" s="6">
        <v>0.967179700321425</v>
      </c>
      <c r="R56" s="6">
        <v>0.438457857142857</v>
      </c>
      <c r="S56" s="6">
        <v>0.022744478159</v>
      </c>
      <c r="T56" s="6">
        <v>0.000231271719</v>
      </c>
      <c r="U56" s="6">
        <v>0.111339606205886</v>
      </c>
      <c r="V56" s="6">
        <v>0.0247745269952642</v>
      </c>
      <c r="W56" s="6">
        <v>10.8091042317429</v>
      </c>
      <c r="X56" s="6">
        <v>4.69911436516129</v>
      </c>
      <c r="Y56" s="6">
        <v>15.5082185969042</v>
      </c>
      <c r="Z56" s="6">
        <v>1.235936</v>
      </c>
      <c r="AA56" s="6">
        <v>1.555156</v>
      </c>
      <c r="AB56" s="6">
        <v>2.204064</v>
      </c>
      <c r="AC56" s="6">
        <v>1.884844</v>
      </c>
      <c r="AD56" s="6">
        <v>0.31922</v>
      </c>
      <c r="AE56" s="6">
        <v>1.779</v>
      </c>
      <c r="AF56" s="6">
        <v>4.2526</v>
      </c>
      <c r="AG56" s="6">
        <v>0.908162430405486</v>
      </c>
      <c r="AH56" s="6">
        <v>0.434503440722856</v>
      </c>
      <c r="AI56" s="6">
        <v>0.711882096979549</v>
      </c>
      <c r="AJ56" s="6">
        <v>93.13111707688</v>
      </c>
      <c r="AK56" s="6">
        <v>59.243944862</v>
      </c>
      <c r="AL56" s="6">
        <v>145.09917</v>
      </c>
      <c r="AM56" s="6">
        <v>99.4948</v>
      </c>
      <c r="AN56" s="6">
        <v>5.815481296455</v>
      </c>
      <c r="AO56" s="6">
        <v>6.810622398</v>
      </c>
      <c r="AP56" s="6">
        <v>0</v>
      </c>
      <c r="AQ56" s="6">
        <v>0</v>
      </c>
      <c r="AR56" s="6">
        <v>0.3263</v>
      </c>
      <c r="AS56" s="6">
        <v>0.0158</v>
      </c>
      <c r="AT56" s="6">
        <v>0</v>
      </c>
      <c r="AU56" s="6">
        <v>0.1263</v>
      </c>
      <c r="AV56" s="6">
        <v>0</v>
      </c>
      <c r="AW56" s="6">
        <v>0</v>
      </c>
      <c r="AX56" s="6">
        <v>0.421</v>
      </c>
      <c r="AY56" s="6">
        <v>0</v>
      </c>
      <c r="AZ56" s="6">
        <v>0</v>
      </c>
      <c r="BA56" s="6">
        <v>0.1106</v>
      </c>
      <c r="BB56" s="6">
        <v>0</v>
      </c>
      <c r="BC56" s="6">
        <v>0</v>
      </c>
      <c r="BD56" s="6">
        <v>0</v>
      </c>
      <c r="BE56" s="6">
        <v>0</v>
      </c>
      <c r="BF56" s="6">
        <v>0.2526</v>
      </c>
      <c r="BG56" s="6">
        <v>0</v>
      </c>
      <c r="BH56" s="6">
        <v>0</v>
      </c>
      <c r="BI56" s="6">
        <v>0</v>
      </c>
      <c r="BJ56" s="6">
        <v>0.7474</v>
      </c>
      <c r="BK56" s="6">
        <v>0</v>
      </c>
      <c r="BL56" s="6">
        <v>0</v>
      </c>
      <c r="BM56" s="6">
        <v>0</v>
      </c>
      <c r="BN56" s="6">
        <v>0</v>
      </c>
    </row>
    <row r="57" ht="34.2" customHeight="1" spans="1:66">
      <c r="A57" s="7">
        <v>116</v>
      </c>
      <c r="B57" s="7">
        <v>56</v>
      </c>
      <c r="C57" s="3" t="s">
        <v>122</v>
      </c>
      <c r="D57" s="6">
        <v>0.16</v>
      </c>
      <c r="E57" s="6">
        <v>6.87</v>
      </c>
      <c r="F57" s="6">
        <v>343</v>
      </c>
      <c r="G57" s="6">
        <f t="shared" si="1"/>
        <v>0.0200291545189504</v>
      </c>
      <c r="H57" s="6">
        <v>86</v>
      </c>
      <c r="I57" s="3" t="s">
        <v>67</v>
      </c>
      <c r="J57" s="3"/>
      <c r="K57" s="6">
        <v>1</v>
      </c>
      <c r="L57" s="6">
        <v>1</v>
      </c>
      <c r="M57" s="6">
        <v>1.35458</v>
      </c>
      <c r="N57" s="6">
        <v>0.61382</v>
      </c>
      <c r="O57" s="6">
        <v>2.2068032973836</v>
      </c>
      <c r="P57" s="6">
        <v>0.74076</v>
      </c>
      <c r="Q57" s="6">
        <v>0.967207693498346</v>
      </c>
      <c r="R57" s="6">
        <v>0.438442857142857</v>
      </c>
      <c r="S57" s="6">
        <v>0.0227188236</v>
      </c>
      <c r="T57" s="6">
        <v>0.0002309076</v>
      </c>
      <c r="U57" s="6">
        <v>0.111272606342186</v>
      </c>
      <c r="V57" s="6">
        <v>0.0247558634660087</v>
      </c>
      <c r="W57" s="6">
        <v>10.8263859973535</v>
      </c>
      <c r="X57" s="6">
        <v>4.69369474975198</v>
      </c>
      <c r="Y57" s="6">
        <v>15.5200807471055</v>
      </c>
      <c r="Z57" s="6">
        <v>1.23572</v>
      </c>
      <c r="AA57" s="6">
        <v>1.55512</v>
      </c>
      <c r="AB57" s="6">
        <v>2.20428</v>
      </c>
      <c r="AC57" s="6">
        <v>1.88488</v>
      </c>
      <c r="AD57" s="6">
        <v>0.3194</v>
      </c>
      <c r="AE57" s="6">
        <v>1.78</v>
      </c>
      <c r="AF57" s="6">
        <v>4.252</v>
      </c>
      <c r="AG57" s="6">
        <v>0.907524104363074</v>
      </c>
      <c r="AH57" s="6">
        <v>0.434161260363013</v>
      </c>
      <c r="AI57" s="6">
        <v>0.711370508244473</v>
      </c>
      <c r="AJ57" s="6">
        <v>93.1643872976</v>
      </c>
      <c r="AK57" s="6">
        <v>59.21692124</v>
      </c>
      <c r="AL57" s="6">
        <v>145.1434</v>
      </c>
      <c r="AM57" s="6">
        <v>99.496</v>
      </c>
      <c r="AN57" s="6">
        <v>5.8160498111</v>
      </c>
      <c r="AO57" s="6">
        <v>6.81066396</v>
      </c>
      <c r="AP57" s="6">
        <v>0</v>
      </c>
      <c r="AQ57" s="6">
        <v>0</v>
      </c>
      <c r="AR57" s="6">
        <v>0.326</v>
      </c>
      <c r="AS57" s="6">
        <v>0.016</v>
      </c>
      <c r="AT57" s="6">
        <v>0</v>
      </c>
      <c r="AU57" s="6">
        <v>0.126</v>
      </c>
      <c r="AV57" s="6">
        <v>0</v>
      </c>
      <c r="AW57" s="6">
        <v>0</v>
      </c>
      <c r="AX57" s="6">
        <v>0.42</v>
      </c>
      <c r="AY57" s="6">
        <v>0</v>
      </c>
      <c r="AZ57" s="6">
        <v>0</v>
      </c>
      <c r="BA57" s="6">
        <v>0.112</v>
      </c>
      <c r="BB57" s="6">
        <v>0</v>
      </c>
      <c r="BC57" s="6">
        <v>0</v>
      </c>
      <c r="BD57" s="6">
        <v>0</v>
      </c>
      <c r="BE57" s="6">
        <v>0</v>
      </c>
      <c r="BF57" s="6">
        <v>0.252</v>
      </c>
      <c r="BG57" s="6">
        <v>0</v>
      </c>
      <c r="BH57" s="6">
        <v>0</v>
      </c>
      <c r="BI57" s="6">
        <v>0</v>
      </c>
      <c r="BJ57" s="6">
        <v>0.748</v>
      </c>
      <c r="BK57" s="6">
        <v>0</v>
      </c>
      <c r="BL57" s="6">
        <v>0</v>
      </c>
      <c r="BM57" s="6">
        <v>0</v>
      </c>
      <c r="BN57" s="6">
        <v>0</v>
      </c>
    </row>
    <row r="58" ht="34.2" customHeight="1" spans="1:66">
      <c r="A58" s="7">
        <v>117</v>
      </c>
      <c r="B58" s="7">
        <v>57</v>
      </c>
      <c r="C58" s="3" t="s">
        <v>123</v>
      </c>
      <c r="D58" s="6">
        <v>0.162</v>
      </c>
      <c r="E58" s="6">
        <v>6.49</v>
      </c>
      <c r="F58" s="6">
        <v>335</v>
      </c>
      <c r="G58" s="6">
        <f t="shared" si="1"/>
        <v>0.0193731343283582</v>
      </c>
      <c r="H58" s="6">
        <v>85.1</v>
      </c>
      <c r="I58" s="3" t="s">
        <v>67</v>
      </c>
      <c r="J58" s="3"/>
      <c r="K58" s="6">
        <v>1</v>
      </c>
      <c r="L58" s="6">
        <v>1</v>
      </c>
      <c r="M58" s="6">
        <v>1.354631</v>
      </c>
      <c r="N58" s="6">
        <v>0.613799</v>
      </c>
      <c r="O58" s="6">
        <v>2.20696188817512</v>
      </c>
      <c r="P58" s="6">
        <v>0.740832</v>
      </c>
      <c r="Q58" s="6">
        <v>0.967235687259096</v>
      </c>
      <c r="R58" s="6">
        <v>0.438427857142857</v>
      </c>
      <c r="S58" s="6">
        <v>0.022693163839</v>
      </c>
      <c r="T58" s="6">
        <v>0.000230542599</v>
      </c>
      <c r="U58" s="6">
        <v>0.111205563306773</v>
      </c>
      <c r="V58" s="6">
        <v>0.0247371359504113</v>
      </c>
      <c r="W58" s="6">
        <v>10.8434734387113</v>
      </c>
      <c r="X58" s="6">
        <v>4.68825925491426</v>
      </c>
      <c r="Y58" s="6">
        <v>15.5317326936255</v>
      </c>
      <c r="Z58" s="6">
        <v>1.235504</v>
      </c>
      <c r="AA58" s="6">
        <v>1.555084</v>
      </c>
      <c r="AB58" s="6">
        <v>2.204496</v>
      </c>
      <c r="AC58" s="6">
        <v>1.884916</v>
      </c>
      <c r="AD58" s="6">
        <v>0.31958</v>
      </c>
      <c r="AE58" s="6">
        <v>1.781</v>
      </c>
      <c r="AF58" s="6">
        <v>4.2514</v>
      </c>
      <c r="AG58" s="6">
        <v>0.906884226348656</v>
      </c>
      <c r="AH58" s="6">
        <v>0.433817980263612</v>
      </c>
      <c r="AI58" s="6">
        <v>0.710857594740325</v>
      </c>
      <c r="AJ58" s="6">
        <v>93.19765751832</v>
      </c>
      <c r="AK58" s="6">
        <v>59.189897618</v>
      </c>
      <c r="AL58" s="6">
        <v>145.18763</v>
      </c>
      <c r="AM58" s="6">
        <v>99.4972</v>
      </c>
      <c r="AN58" s="6">
        <v>5.816618325745</v>
      </c>
      <c r="AO58" s="6">
        <v>6.810705522</v>
      </c>
      <c r="AP58" s="6">
        <v>0</v>
      </c>
      <c r="AQ58" s="6">
        <v>0</v>
      </c>
      <c r="AR58" s="6">
        <v>0.3257</v>
      </c>
      <c r="AS58" s="6">
        <v>0.0162</v>
      </c>
      <c r="AT58" s="6">
        <v>0</v>
      </c>
      <c r="AU58" s="6">
        <v>0.1257</v>
      </c>
      <c r="AV58" s="6">
        <v>0</v>
      </c>
      <c r="AW58" s="6">
        <v>0</v>
      </c>
      <c r="AX58" s="6">
        <v>0.419</v>
      </c>
      <c r="AY58" s="6">
        <v>0</v>
      </c>
      <c r="AZ58" s="6">
        <v>0</v>
      </c>
      <c r="BA58" s="6">
        <v>0.1134</v>
      </c>
      <c r="BB58" s="6">
        <v>0</v>
      </c>
      <c r="BC58" s="6">
        <v>0</v>
      </c>
      <c r="BD58" s="6">
        <v>0</v>
      </c>
      <c r="BE58" s="6">
        <v>0</v>
      </c>
      <c r="BF58" s="6">
        <v>0.2514</v>
      </c>
      <c r="BG58" s="6">
        <v>0</v>
      </c>
      <c r="BH58" s="6">
        <v>0</v>
      </c>
      <c r="BI58" s="6">
        <v>0</v>
      </c>
      <c r="BJ58" s="6">
        <v>0.7486</v>
      </c>
      <c r="BK58" s="6">
        <v>0</v>
      </c>
      <c r="BL58" s="6">
        <v>0</v>
      </c>
      <c r="BM58" s="6">
        <v>0</v>
      </c>
      <c r="BN58" s="6">
        <v>0</v>
      </c>
    </row>
    <row r="59" ht="34.2" customHeight="1" spans="1:66">
      <c r="A59" s="7">
        <v>118</v>
      </c>
      <c r="B59" s="7">
        <v>58</v>
      </c>
      <c r="C59" s="3" t="s">
        <v>124</v>
      </c>
      <c r="D59" s="6">
        <v>0.164</v>
      </c>
      <c r="E59" s="6">
        <v>6.42</v>
      </c>
      <c r="F59" s="6">
        <v>331</v>
      </c>
      <c r="G59" s="6">
        <f t="shared" si="1"/>
        <v>0.0193957703927492</v>
      </c>
      <c r="H59" s="6">
        <v>85.9</v>
      </c>
      <c r="I59" s="3" t="s">
        <v>67</v>
      </c>
      <c r="J59" s="3"/>
      <c r="K59" s="6">
        <v>1</v>
      </c>
      <c r="L59" s="6">
        <v>1</v>
      </c>
      <c r="M59" s="6">
        <v>1.354682</v>
      </c>
      <c r="N59" s="6">
        <v>0.613778</v>
      </c>
      <c r="O59" s="6">
        <v>2.20712048981879</v>
      </c>
      <c r="P59" s="6">
        <v>0.740904</v>
      </c>
      <c r="Q59" s="6">
        <v>0.967263681603693</v>
      </c>
      <c r="R59" s="6">
        <v>0.438412857142857</v>
      </c>
      <c r="S59" s="6">
        <v>0.022667498876</v>
      </c>
      <c r="T59" s="6">
        <v>0.000230176716</v>
      </c>
      <c r="U59" s="6">
        <v>0.111138477022725</v>
      </c>
      <c r="V59" s="6">
        <v>0.024718344292915</v>
      </c>
      <c r="W59" s="6">
        <v>10.8603685453931</v>
      </c>
      <c r="X59" s="6">
        <v>4.68280785550733</v>
      </c>
      <c r="Y59" s="6">
        <v>15.5431764009004</v>
      </c>
      <c r="Z59" s="6">
        <v>1.235288</v>
      </c>
      <c r="AA59" s="6">
        <v>1.555048</v>
      </c>
      <c r="AB59" s="6">
        <v>2.204712</v>
      </c>
      <c r="AC59" s="6">
        <v>1.884952</v>
      </c>
      <c r="AD59" s="6">
        <v>0.31976</v>
      </c>
      <c r="AE59" s="6">
        <v>1.782</v>
      </c>
      <c r="AF59" s="6">
        <v>4.2508</v>
      </c>
      <c r="AG59" s="6">
        <v>0.906242793074792</v>
      </c>
      <c r="AH59" s="6">
        <v>0.433473597811908</v>
      </c>
      <c r="AI59" s="6">
        <v>0.710343353597399</v>
      </c>
      <c r="AJ59" s="6">
        <v>93.23092773904</v>
      </c>
      <c r="AK59" s="6">
        <v>59.162873996</v>
      </c>
      <c r="AL59" s="6">
        <v>145.23186</v>
      </c>
      <c r="AM59" s="6">
        <v>99.4984</v>
      </c>
      <c r="AN59" s="6">
        <v>5.81718684039</v>
      </c>
      <c r="AO59" s="6">
        <v>6.810747084</v>
      </c>
      <c r="AP59" s="6">
        <v>0</v>
      </c>
      <c r="AQ59" s="6">
        <v>0</v>
      </c>
      <c r="AR59" s="6">
        <v>0.3254</v>
      </c>
      <c r="AS59" s="6">
        <v>0.0164</v>
      </c>
      <c r="AT59" s="6">
        <v>0</v>
      </c>
      <c r="AU59" s="6">
        <v>0.1254</v>
      </c>
      <c r="AV59" s="6">
        <v>0</v>
      </c>
      <c r="AW59" s="6">
        <v>0</v>
      </c>
      <c r="AX59" s="6">
        <v>0.418</v>
      </c>
      <c r="AY59" s="6">
        <v>0</v>
      </c>
      <c r="AZ59" s="6">
        <v>0</v>
      </c>
      <c r="BA59" s="6">
        <v>0.1148</v>
      </c>
      <c r="BB59" s="6">
        <v>0</v>
      </c>
      <c r="BC59" s="6">
        <v>0</v>
      </c>
      <c r="BD59" s="6">
        <v>0</v>
      </c>
      <c r="BE59" s="6">
        <v>0</v>
      </c>
      <c r="BF59" s="6">
        <v>0.2508</v>
      </c>
      <c r="BG59" s="6">
        <v>0</v>
      </c>
      <c r="BH59" s="6">
        <v>0</v>
      </c>
      <c r="BI59" s="6">
        <v>0</v>
      </c>
      <c r="BJ59" s="6">
        <v>0.7492</v>
      </c>
      <c r="BK59" s="6">
        <v>0</v>
      </c>
      <c r="BL59" s="6">
        <v>0</v>
      </c>
      <c r="BM59" s="6">
        <v>0</v>
      </c>
      <c r="BN59" s="6">
        <v>0</v>
      </c>
    </row>
    <row r="60" ht="34.2" customHeight="1" spans="1:66">
      <c r="A60" s="7">
        <v>119</v>
      </c>
      <c r="B60" s="7">
        <v>59</v>
      </c>
      <c r="C60" s="3" t="s">
        <v>125</v>
      </c>
      <c r="D60" s="6">
        <v>0.166</v>
      </c>
      <c r="E60" s="6">
        <v>6.27</v>
      </c>
      <c r="F60" s="6">
        <v>326</v>
      </c>
      <c r="G60" s="6">
        <f t="shared" si="1"/>
        <v>0.0192331288343558</v>
      </c>
      <c r="H60" s="6">
        <v>85.55</v>
      </c>
      <c r="I60" s="3" t="s">
        <v>67</v>
      </c>
      <c r="J60" s="3"/>
      <c r="K60" s="6">
        <v>1</v>
      </c>
      <c r="L60" s="6">
        <v>1</v>
      </c>
      <c r="M60" s="6">
        <v>1.354733</v>
      </c>
      <c r="N60" s="6">
        <v>0.613757</v>
      </c>
      <c r="O60" s="6">
        <v>2.20727910231574</v>
      </c>
      <c r="P60" s="6">
        <v>0.740976</v>
      </c>
      <c r="Q60" s="6">
        <v>0.967291676532154</v>
      </c>
      <c r="R60" s="6">
        <v>0.438397857142857</v>
      </c>
      <c r="S60" s="6">
        <v>0.022641828711</v>
      </c>
      <c r="T60" s="6">
        <v>0.000229809951</v>
      </c>
      <c r="U60" s="6">
        <v>0.11107134741288</v>
      </c>
      <c r="V60" s="6">
        <v>0.0246994883369892</v>
      </c>
      <c r="W60" s="6">
        <v>10.8770732565987</v>
      </c>
      <c r="X60" s="6">
        <v>4.67734052624965</v>
      </c>
      <c r="Y60" s="6">
        <v>15.5544137828483</v>
      </c>
      <c r="Z60" s="6">
        <v>1.235072</v>
      </c>
      <c r="AA60" s="6">
        <v>1.555012</v>
      </c>
      <c r="AB60" s="6">
        <v>2.204928</v>
      </c>
      <c r="AC60" s="6">
        <v>1.884988</v>
      </c>
      <c r="AD60" s="6">
        <v>0.31994</v>
      </c>
      <c r="AE60" s="6">
        <v>1.783</v>
      </c>
      <c r="AF60" s="6">
        <v>4.2502</v>
      </c>
      <c r="AG60" s="6">
        <v>0.905599801236727</v>
      </c>
      <c r="AH60" s="6">
        <v>0.433128110378442</v>
      </c>
      <c r="AI60" s="6">
        <v>0.709827781930237</v>
      </c>
      <c r="AJ60" s="6">
        <v>93.26419795976</v>
      </c>
      <c r="AK60" s="6">
        <v>59.135850374</v>
      </c>
      <c r="AL60" s="6">
        <v>145.27609</v>
      </c>
      <c r="AM60" s="6">
        <v>99.4996</v>
      </c>
      <c r="AN60" s="6">
        <v>5.817755355035</v>
      </c>
      <c r="AO60" s="6">
        <v>6.810788646</v>
      </c>
      <c r="AP60" s="6">
        <v>0</v>
      </c>
      <c r="AQ60" s="6">
        <v>0</v>
      </c>
      <c r="AR60" s="6">
        <v>0.3251</v>
      </c>
      <c r="AS60" s="6">
        <v>0.0166</v>
      </c>
      <c r="AT60" s="6">
        <v>0</v>
      </c>
      <c r="AU60" s="6">
        <v>0.1251</v>
      </c>
      <c r="AV60" s="6">
        <v>0</v>
      </c>
      <c r="AW60" s="6">
        <v>0</v>
      </c>
      <c r="AX60" s="6">
        <v>0.417</v>
      </c>
      <c r="AY60" s="6">
        <v>0</v>
      </c>
      <c r="AZ60" s="6">
        <v>0</v>
      </c>
      <c r="BA60" s="6">
        <v>0.1162</v>
      </c>
      <c r="BB60" s="6">
        <v>0</v>
      </c>
      <c r="BC60" s="6">
        <v>0</v>
      </c>
      <c r="BD60" s="6">
        <v>0</v>
      </c>
      <c r="BE60" s="6">
        <v>0</v>
      </c>
      <c r="BF60" s="6">
        <v>0.2502</v>
      </c>
      <c r="BG60" s="6">
        <v>0</v>
      </c>
      <c r="BH60" s="6">
        <v>0</v>
      </c>
      <c r="BI60" s="6">
        <v>0</v>
      </c>
      <c r="BJ60" s="6">
        <v>0.7498</v>
      </c>
      <c r="BK60" s="6">
        <v>0</v>
      </c>
      <c r="BL60" s="6">
        <v>0</v>
      </c>
      <c r="BM60" s="6">
        <v>0</v>
      </c>
      <c r="BN60" s="6">
        <v>0</v>
      </c>
    </row>
    <row r="61" ht="34.2" customHeight="1" spans="1:66">
      <c r="A61" s="7">
        <v>120</v>
      </c>
      <c r="B61" s="7">
        <v>60</v>
      </c>
      <c r="C61" s="3" t="s">
        <v>126</v>
      </c>
      <c r="D61" s="6">
        <v>0.168</v>
      </c>
      <c r="E61" s="6">
        <v>6.15</v>
      </c>
      <c r="F61" s="6">
        <v>322</v>
      </c>
      <c r="G61" s="6">
        <f t="shared" si="1"/>
        <v>0.0190993788819876</v>
      </c>
      <c r="H61" s="6">
        <v>85.82</v>
      </c>
      <c r="I61" s="3" t="s">
        <v>67</v>
      </c>
      <c r="J61" s="3"/>
      <c r="K61" s="6">
        <v>1</v>
      </c>
      <c r="L61" s="6">
        <v>1</v>
      </c>
      <c r="M61" s="6">
        <v>1.354784</v>
      </c>
      <c r="N61" s="6">
        <v>0.613736</v>
      </c>
      <c r="O61" s="6">
        <v>2.20743772566706</v>
      </c>
      <c r="P61" s="6">
        <v>0.741048</v>
      </c>
      <c r="Q61" s="6">
        <v>0.9673196720445</v>
      </c>
      <c r="R61" s="6">
        <v>0.438382857142857</v>
      </c>
      <c r="S61" s="6">
        <v>0.022616153344</v>
      </c>
      <c r="T61" s="6">
        <v>0.000229442304</v>
      </c>
      <c r="U61" s="6">
        <v>0.11100417439984</v>
      </c>
      <c r="V61" s="6">
        <v>0.0246805679251206</v>
      </c>
      <c r="W61" s="6">
        <v>10.8935894629584</v>
      </c>
      <c r="X61" s="6">
        <v>4.67185724171792</v>
      </c>
      <c r="Y61" s="6">
        <v>15.5654467046763</v>
      </c>
      <c r="Z61" s="6">
        <v>1.234856</v>
      </c>
      <c r="AA61" s="6">
        <v>1.554976</v>
      </c>
      <c r="AB61" s="6">
        <v>2.205144</v>
      </c>
      <c r="AC61" s="6">
        <v>1.885024</v>
      </c>
      <c r="AD61" s="6">
        <v>0.32012</v>
      </c>
      <c r="AE61" s="6">
        <v>1.784</v>
      </c>
      <c r="AF61" s="6">
        <v>4.2496</v>
      </c>
      <c r="AG61" s="6">
        <v>0.904955247512273</v>
      </c>
      <c r="AH61" s="6">
        <v>0.432781515316909</v>
      </c>
      <c r="AI61" s="6">
        <v>0.709310876837512</v>
      </c>
      <c r="AJ61" s="6">
        <v>93.29746818048</v>
      </c>
      <c r="AK61" s="6">
        <v>59.108826752</v>
      </c>
      <c r="AL61" s="6">
        <v>145.32032</v>
      </c>
      <c r="AM61" s="6">
        <v>99.5008</v>
      </c>
      <c r="AN61" s="6">
        <v>5.81832386968</v>
      </c>
      <c r="AO61" s="6">
        <v>6.810830208</v>
      </c>
      <c r="AP61" s="6">
        <v>0</v>
      </c>
      <c r="AQ61" s="6">
        <v>0</v>
      </c>
      <c r="AR61" s="6">
        <v>0.3248</v>
      </c>
      <c r="AS61" s="6">
        <v>0.0168</v>
      </c>
      <c r="AT61" s="6">
        <v>0</v>
      </c>
      <c r="AU61" s="6">
        <v>0.1248</v>
      </c>
      <c r="AV61" s="6">
        <v>0</v>
      </c>
      <c r="AW61" s="6">
        <v>0</v>
      </c>
      <c r="AX61" s="6">
        <v>0.416</v>
      </c>
      <c r="AY61" s="6">
        <v>0</v>
      </c>
      <c r="AZ61" s="6">
        <v>0</v>
      </c>
      <c r="BA61" s="6">
        <v>0.1176</v>
      </c>
      <c r="BB61" s="6">
        <v>0</v>
      </c>
      <c r="BC61" s="6">
        <v>0</v>
      </c>
      <c r="BD61" s="6">
        <v>0</v>
      </c>
      <c r="BE61" s="6">
        <v>0</v>
      </c>
      <c r="BF61" s="6">
        <v>0.2496</v>
      </c>
      <c r="BG61" s="6">
        <v>0</v>
      </c>
      <c r="BH61" s="6">
        <v>0</v>
      </c>
      <c r="BI61" s="6">
        <v>0</v>
      </c>
      <c r="BJ61" s="6">
        <v>0.7504</v>
      </c>
      <c r="BK61" s="6">
        <v>0</v>
      </c>
      <c r="BL61" s="6">
        <v>0</v>
      </c>
      <c r="BM61" s="6">
        <v>0</v>
      </c>
      <c r="BN61" s="6">
        <v>0</v>
      </c>
    </row>
    <row r="62" ht="34.2" customHeight="1" spans="1:66">
      <c r="A62" s="7">
        <v>121</v>
      </c>
      <c r="B62" s="7">
        <v>61</v>
      </c>
      <c r="C62" s="3" t="s">
        <v>127</v>
      </c>
      <c r="D62" s="6">
        <v>0.17</v>
      </c>
      <c r="E62" s="6">
        <v>5.93</v>
      </c>
      <c r="F62" s="6">
        <v>318</v>
      </c>
      <c r="G62" s="6">
        <f t="shared" si="1"/>
        <v>0.0186477987421384</v>
      </c>
      <c r="H62" s="6">
        <v>84.33</v>
      </c>
      <c r="I62" s="3" t="s">
        <v>67</v>
      </c>
      <c r="J62" s="3"/>
      <c r="K62" s="6">
        <v>1</v>
      </c>
      <c r="L62" s="6">
        <v>1</v>
      </c>
      <c r="M62" s="6">
        <v>1.354835</v>
      </c>
      <c r="N62" s="6">
        <v>0.613715</v>
      </c>
      <c r="O62" s="6">
        <v>2.20759635987388</v>
      </c>
      <c r="P62" s="6">
        <v>0.74112</v>
      </c>
      <c r="Q62" s="6">
        <v>0.967347668140746</v>
      </c>
      <c r="R62" s="6">
        <v>0.438367857142857</v>
      </c>
      <c r="S62" s="6">
        <v>0.022590472775</v>
      </c>
      <c r="T62" s="6">
        <v>0.000229073775</v>
      </c>
      <c r="U62" s="6">
        <v>0.110936957905968</v>
      </c>
      <c r="V62" s="6">
        <v>0.0246615828988061</v>
      </c>
      <c r="W62" s="6">
        <v>10.9099190082552</v>
      </c>
      <c r="X62" s="6">
        <v>4.66635797634614</v>
      </c>
      <c r="Y62" s="6">
        <v>15.5762769846013</v>
      </c>
      <c r="Z62" s="6">
        <v>1.23464</v>
      </c>
      <c r="AA62" s="6">
        <v>1.55494</v>
      </c>
      <c r="AB62" s="6">
        <v>2.20536</v>
      </c>
      <c r="AC62" s="6">
        <v>1.88506</v>
      </c>
      <c r="AD62" s="6">
        <v>0.3203</v>
      </c>
      <c r="AE62" s="6">
        <v>1.785</v>
      </c>
      <c r="AF62" s="6">
        <v>4.249</v>
      </c>
      <c r="AG62" s="6">
        <v>0.904309128561688</v>
      </c>
      <c r="AH62" s="6">
        <v>0.432433809964022</v>
      </c>
      <c r="AI62" s="6">
        <v>0.708792635401921</v>
      </c>
      <c r="AJ62" s="6">
        <v>93.3307384012</v>
      </c>
      <c r="AK62" s="6">
        <v>59.08180313</v>
      </c>
      <c r="AL62" s="6">
        <v>145.36455</v>
      </c>
      <c r="AM62" s="6">
        <v>99.502</v>
      </c>
      <c r="AN62" s="6">
        <v>5.818892384325</v>
      </c>
      <c r="AO62" s="6">
        <v>6.81087177</v>
      </c>
      <c r="AP62" s="6">
        <v>0</v>
      </c>
      <c r="AQ62" s="6">
        <v>0</v>
      </c>
      <c r="AR62" s="6">
        <v>0.3245</v>
      </c>
      <c r="AS62" s="6">
        <v>0.017</v>
      </c>
      <c r="AT62" s="6">
        <v>0</v>
      </c>
      <c r="AU62" s="6">
        <v>0.1245</v>
      </c>
      <c r="AV62" s="6">
        <v>0</v>
      </c>
      <c r="AW62" s="6">
        <v>0</v>
      </c>
      <c r="AX62" s="6">
        <v>0.415</v>
      </c>
      <c r="AY62" s="6">
        <v>0</v>
      </c>
      <c r="AZ62" s="6">
        <v>0</v>
      </c>
      <c r="BA62" s="6">
        <v>0.119</v>
      </c>
      <c r="BB62" s="6">
        <v>0</v>
      </c>
      <c r="BC62" s="6">
        <v>0</v>
      </c>
      <c r="BD62" s="6">
        <v>0</v>
      </c>
      <c r="BE62" s="6">
        <v>0</v>
      </c>
      <c r="BF62" s="6">
        <v>0.249</v>
      </c>
      <c r="BG62" s="6">
        <v>0</v>
      </c>
      <c r="BH62" s="6">
        <v>0</v>
      </c>
      <c r="BI62" s="6">
        <v>0</v>
      </c>
      <c r="BJ62" s="6">
        <v>0.751</v>
      </c>
      <c r="BK62" s="6">
        <v>0</v>
      </c>
      <c r="BL62" s="6">
        <v>0</v>
      </c>
      <c r="BM62" s="6">
        <v>0</v>
      </c>
      <c r="BN62" s="6">
        <v>0</v>
      </c>
    </row>
    <row r="63" ht="34.2" customHeight="1" spans="1:66">
      <c r="A63" s="7">
        <v>122</v>
      </c>
      <c r="B63" s="7">
        <v>62</v>
      </c>
      <c r="C63" s="3" t="s">
        <v>128</v>
      </c>
      <c r="D63" s="6">
        <v>0.172</v>
      </c>
      <c r="E63" s="6">
        <v>5.66</v>
      </c>
      <c r="F63" s="6">
        <v>313</v>
      </c>
      <c r="G63" s="6">
        <f t="shared" si="1"/>
        <v>0.0180830670926518</v>
      </c>
      <c r="H63" s="6">
        <v>85.23</v>
      </c>
      <c r="I63" s="3" t="s">
        <v>67</v>
      </c>
      <c r="J63" s="3"/>
      <c r="K63" s="6">
        <v>1</v>
      </c>
      <c r="L63" s="6">
        <v>1</v>
      </c>
      <c r="M63" s="6">
        <v>1.354886</v>
      </c>
      <c r="N63" s="6">
        <v>0.613694</v>
      </c>
      <c r="O63" s="6">
        <v>2.20775500493731</v>
      </c>
      <c r="P63" s="6">
        <v>0.741192</v>
      </c>
      <c r="Q63" s="6">
        <v>0.967375664820913</v>
      </c>
      <c r="R63" s="6">
        <v>0.438352857142857</v>
      </c>
      <c r="S63" s="6">
        <v>0.022564787004</v>
      </c>
      <c r="T63" s="6">
        <v>0.000228704364</v>
      </c>
      <c r="U63" s="6">
        <v>0.110869697853389</v>
      </c>
      <c r="V63" s="6">
        <v>0.0246425330985445</v>
      </c>
      <c r="W63" s="6">
        <v>10.9260636910654</v>
      </c>
      <c r="X63" s="6">
        <v>4.6608427044246</v>
      </c>
      <c r="Y63" s="6">
        <v>15.58690639549</v>
      </c>
      <c r="Z63" s="6">
        <v>1.234424</v>
      </c>
      <c r="AA63" s="6">
        <v>1.554904</v>
      </c>
      <c r="AB63" s="6">
        <v>2.205576</v>
      </c>
      <c r="AC63" s="6">
        <v>1.885096</v>
      </c>
      <c r="AD63" s="6">
        <v>0.32048</v>
      </c>
      <c r="AE63" s="6">
        <v>1.786</v>
      </c>
      <c r="AF63" s="6">
        <v>4.2484</v>
      </c>
      <c r="AG63" s="6">
        <v>0.903661441027557</v>
      </c>
      <c r="AH63" s="6">
        <v>0.432084991639376</v>
      </c>
      <c r="AI63" s="6">
        <v>0.708273054690068</v>
      </c>
      <c r="AJ63" s="6">
        <v>93.36400862192</v>
      </c>
      <c r="AK63" s="6">
        <v>59.054779508</v>
      </c>
      <c r="AL63" s="6">
        <v>145.40878</v>
      </c>
      <c r="AM63" s="6">
        <v>99.5032</v>
      </c>
      <c r="AN63" s="6">
        <v>5.81946089897</v>
      </c>
      <c r="AO63" s="6">
        <v>6.810913332</v>
      </c>
      <c r="AP63" s="6">
        <v>0</v>
      </c>
      <c r="AQ63" s="6">
        <v>0</v>
      </c>
      <c r="AR63" s="6">
        <v>0.3242</v>
      </c>
      <c r="AS63" s="6">
        <v>0.0172</v>
      </c>
      <c r="AT63" s="6">
        <v>0</v>
      </c>
      <c r="AU63" s="6">
        <v>0.1242</v>
      </c>
      <c r="AV63" s="6">
        <v>0</v>
      </c>
      <c r="AW63" s="6">
        <v>0</v>
      </c>
      <c r="AX63" s="6">
        <v>0.414</v>
      </c>
      <c r="AY63" s="6">
        <v>0</v>
      </c>
      <c r="AZ63" s="6">
        <v>0</v>
      </c>
      <c r="BA63" s="6">
        <v>0.1204</v>
      </c>
      <c r="BB63" s="6">
        <v>0</v>
      </c>
      <c r="BC63" s="6">
        <v>0</v>
      </c>
      <c r="BD63" s="6">
        <v>0</v>
      </c>
      <c r="BE63" s="6">
        <v>0</v>
      </c>
      <c r="BF63" s="6">
        <v>0.2484</v>
      </c>
      <c r="BG63" s="6">
        <v>0</v>
      </c>
      <c r="BH63" s="6">
        <v>0</v>
      </c>
      <c r="BI63" s="6">
        <v>0</v>
      </c>
      <c r="BJ63" s="6">
        <v>0.7516</v>
      </c>
      <c r="BK63" s="6">
        <v>0</v>
      </c>
      <c r="BL63" s="6">
        <v>0</v>
      </c>
      <c r="BM63" s="6">
        <v>0</v>
      </c>
      <c r="BN63" s="6">
        <v>0</v>
      </c>
    </row>
    <row r="64" ht="34.2" customHeight="1" spans="1:66">
      <c r="A64" s="7">
        <v>123</v>
      </c>
      <c r="B64" s="7">
        <v>63</v>
      </c>
      <c r="C64" s="3" t="s">
        <v>129</v>
      </c>
      <c r="D64" s="6">
        <v>0.174</v>
      </c>
      <c r="E64" s="6">
        <v>5.739</v>
      </c>
      <c r="F64" s="6">
        <v>308</v>
      </c>
      <c r="G64" s="6">
        <f t="shared" si="1"/>
        <v>0.0186331168831169</v>
      </c>
      <c r="H64" s="6">
        <v>84.21</v>
      </c>
      <c r="I64" s="3" t="s">
        <v>67</v>
      </c>
      <c r="J64" s="3"/>
      <c r="K64" s="6">
        <v>1</v>
      </c>
      <c r="L64" s="6">
        <v>1</v>
      </c>
      <c r="M64" s="6">
        <v>1.354937</v>
      </c>
      <c r="N64" s="6">
        <v>0.613673</v>
      </c>
      <c r="O64" s="6">
        <v>2.20791366085847</v>
      </c>
      <c r="P64" s="6">
        <v>0.741264</v>
      </c>
      <c r="Q64" s="6">
        <v>0.967403662085018</v>
      </c>
      <c r="R64" s="6">
        <v>0.438337857142857</v>
      </c>
      <c r="S64" s="6">
        <v>0.022539096031</v>
      </c>
      <c r="T64" s="6">
        <v>0.000228334071</v>
      </c>
      <c r="U64" s="6">
        <v>0.110802394163984</v>
      </c>
      <c r="V64" s="6">
        <v>0.0246234183638288</v>
      </c>
      <c r="W64" s="6">
        <v>10.9420252663231</v>
      </c>
      <c r="X64" s="6">
        <v>4.65531140009893</v>
      </c>
      <c r="Y64" s="6">
        <v>15.597336666422</v>
      </c>
      <c r="Z64" s="6">
        <v>1.234208</v>
      </c>
      <c r="AA64" s="6">
        <v>1.554868</v>
      </c>
      <c r="AB64" s="6">
        <v>2.205792</v>
      </c>
      <c r="AC64" s="6">
        <v>1.885132</v>
      </c>
      <c r="AD64" s="6">
        <v>0.32066</v>
      </c>
      <c r="AE64" s="6">
        <v>1.787</v>
      </c>
      <c r="AF64" s="6">
        <v>4.2478</v>
      </c>
      <c r="AG64" s="6">
        <v>0.903012181534668</v>
      </c>
      <c r="AH64" s="6">
        <v>0.431735057645311</v>
      </c>
      <c r="AI64" s="6">
        <v>0.707752131752353</v>
      </c>
      <c r="AJ64" s="6">
        <v>93.39727884264</v>
      </c>
      <c r="AK64" s="6">
        <v>59.027755886</v>
      </c>
      <c r="AL64" s="6">
        <v>145.45301</v>
      </c>
      <c r="AM64" s="6">
        <v>99.5044</v>
      </c>
      <c r="AN64" s="6">
        <v>5.820029413615</v>
      </c>
      <c r="AO64" s="6">
        <v>6.810954894</v>
      </c>
      <c r="AP64" s="6">
        <v>0</v>
      </c>
      <c r="AQ64" s="6">
        <v>0</v>
      </c>
      <c r="AR64" s="6">
        <v>0.3239</v>
      </c>
      <c r="AS64" s="6">
        <v>0.0174</v>
      </c>
      <c r="AT64" s="6">
        <v>0</v>
      </c>
      <c r="AU64" s="6">
        <v>0.1239</v>
      </c>
      <c r="AV64" s="6">
        <v>0</v>
      </c>
      <c r="AW64" s="6">
        <v>0</v>
      </c>
      <c r="AX64" s="6">
        <v>0.413</v>
      </c>
      <c r="AY64" s="6">
        <v>0</v>
      </c>
      <c r="AZ64" s="6">
        <v>0</v>
      </c>
      <c r="BA64" s="6">
        <v>0.1218</v>
      </c>
      <c r="BB64" s="6">
        <v>0</v>
      </c>
      <c r="BC64" s="6">
        <v>0</v>
      </c>
      <c r="BD64" s="6">
        <v>0</v>
      </c>
      <c r="BE64" s="6">
        <v>0</v>
      </c>
      <c r="BF64" s="6">
        <v>0.2478</v>
      </c>
      <c r="BG64" s="6">
        <v>0</v>
      </c>
      <c r="BH64" s="6">
        <v>0</v>
      </c>
      <c r="BI64" s="6">
        <v>0</v>
      </c>
      <c r="BJ64" s="6">
        <v>0.7522</v>
      </c>
      <c r="BK64" s="6">
        <v>0</v>
      </c>
      <c r="BL64" s="6">
        <v>0</v>
      </c>
      <c r="BM64" s="6">
        <v>0</v>
      </c>
      <c r="BN64" s="6">
        <v>0</v>
      </c>
    </row>
    <row r="65" ht="34.2" customHeight="1" spans="1:66">
      <c r="A65" s="7">
        <v>124</v>
      </c>
      <c r="B65" s="7">
        <v>64</v>
      </c>
      <c r="C65" s="3" t="s">
        <v>130</v>
      </c>
      <c r="D65" s="6">
        <v>0.176</v>
      </c>
      <c r="E65" s="6">
        <v>5.721</v>
      </c>
      <c r="F65" s="6">
        <v>303</v>
      </c>
      <c r="G65" s="6">
        <f t="shared" si="1"/>
        <v>0.0188811881188119</v>
      </c>
      <c r="H65" s="6">
        <v>84.03</v>
      </c>
      <c r="I65" s="3" t="s">
        <v>67</v>
      </c>
      <c r="J65" s="3"/>
      <c r="K65" s="6">
        <v>1</v>
      </c>
      <c r="L65" s="6">
        <v>1</v>
      </c>
      <c r="M65" s="6">
        <v>1.354988</v>
      </c>
      <c r="N65" s="6">
        <v>0.613652</v>
      </c>
      <c r="O65" s="6">
        <v>2.20807232763847</v>
      </c>
      <c r="P65" s="6">
        <v>0.741336</v>
      </c>
      <c r="Q65" s="6">
        <v>0.967431659933079</v>
      </c>
      <c r="R65" s="6">
        <v>0.438322857142857</v>
      </c>
      <c r="S65" s="6">
        <v>0.022513399856</v>
      </c>
      <c r="T65" s="6">
        <v>0.000227962896</v>
      </c>
      <c r="U65" s="6">
        <v>0.110735046759395</v>
      </c>
      <c r="V65" s="6">
        <v>0.0246042385331376</v>
      </c>
      <c r="W65" s="6">
        <v>10.9578054468124</v>
      </c>
      <c r="X65" s="6">
        <v>4.64976403736905</v>
      </c>
      <c r="Y65" s="6">
        <v>15.6075694841815</v>
      </c>
      <c r="Z65" s="6">
        <v>1.233992</v>
      </c>
      <c r="AA65" s="6">
        <v>1.554832</v>
      </c>
      <c r="AB65" s="6">
        <v>2.206008</v>
      </c>
      <c r="AC65" s="6">
        <v>1.885168</v>
      </c>
      <c r="AD65" s="6">
        <v>0.32084</v>
      </c>
      <c r="AE65" s="6">
        <v>1.788</v>
      </c>
      <c r="AF65" s="6">
        <v>4.2472</v>
      </c>
      <c r="AG65" s="6">
        <v>0.902361346689895</v>
      </c>
      <c r="AH65" s="6">
        <v>0.431384005266769</v>
      </c>
      <c r="AI65" s="6">
        <v>0.707229863622854</v>
      </c>
      <c r="AJ65" s="6">
        <v>93.43054906336</v>
      </c>
      <c r="AK65" s="6">
        <v>59.000732264</v>
      </c>
      <c r="AL65" s="6">
        <v>145.49724</v>
      </c>
      <c r="AM65" s="6">
        <v>99.5056</v>
      </c>
      <c r="AN65" s="6">
        <v>5.82059792826</v>
      </c>
      <c r="AO65" s="6">
        <v>6.810996456</v>
      </c>
      <c r="AP65" s="6">
        <v>0</v>
      </c>
      <c r="AQ65" s="6">
        <v>0</v>
      </c>
      <c r="AR65" s="6">
        <v>0.3236</v>
      </c>
      <c r="AS65" s="6">
        <v>0.0176</v>
      </c>
      <c r="AT65" s="6">
        <v>0</v>
      </c>
      <c r="AU65" s="6">
        <v>0.1236</v>
      </c>
      <c r="AV65" s="6">
        <v>0</v>
      </c>
      <c r="AW65" s="6">
        <v>0</v>
      </c>
      <c r="AX65" s="6">
        <v>0.412</v>
      </c>
      <c r="AY65" s="6">
        <v>0</v>
      </c>
      <c r="AZ65" s="6">
        <v>0</v>
      </c>
      <c r="BA65" s="6">
        <v>0.1232</v>
      </c>
      <c r="BB65" s="6">
        <v>0</v>
      </c>
      <c r="BC65" s="6">
        <v>0</v>
      </c>
      <c r="BD65" s="6">
        <v>0</v>
      </c>
      <c r="BE65" s="6">
        <v>0</v>
      </c>
      <c r="BF65" s="6">
        <v>0.2472</v>
      </c>
      <c r="BG65" s="6">
        <v>0</v>
      </c>
      <c r="BH65" s="6">
        <v>0</v>
      </c>
      <c r="BI65" s="6">
        <v>0</v>
      </c>
      <c r="BJ65" s="6">
        <v>0.7528</v>
      </c>
      <c r="BK65" s="6">
        <v>0</v>
      </c>
      <c r="BL65" s="6">
        <v>0</v>
      </c>
      <c r="BM65" s="6">
        <v>0</v>
      </c>
      <c r="BN65" s="6">
        <v>0</v>
      </c>
    </row>
    <row r="66" ht="34.2" customHeight="1" spans="1:66">
      <c r="A66" s="7">
        <v>125</v>
      </c>
      <c r="B66" s="7">
        <v>65</v>
      </c>
      <c r="C66" s="3" t="s">
        <v>131</v>
      </c>
      <c r="D66" s="6">
        <v>0.178</v>
      </c>
      <c r="E66" s="6">
        <v>5.693</v>
      </c>
      <c r="F66" s="6">
        <v>299</v>
      </c>
      <c r="G66" s="6">
        <f t="shared" si="1"/>
        <v>0.0190401337792642</v>
      </c>
      <c r="H66" s="6">
        <v>83.59</v>
      </c>
      <c r="I66" s="3" t="s">
        <v>67</v>
      </c>
      <c r="J66" s="3"/>
      <c r="K66" s="6">
        <v>1</v>
      </c>
      <c r="L66" s="6">
        <v>1</v>
      </c>
      <c r="M66" s="6">
        <v>1.355039</v>
      </c>
      <c r="N66" s="6">
        <v>0.613631</v>
      </c>
      <c r="O66" s="6">
        <v>2.20823100527842</v>
      </c>
      <c r="P66" s="6">
        <v>0.741408</v>
      </c>
      <c r="Q66" s="6">
        <v>0.967459658365115</v>
      </c>
      <c r="R66" s="6">
        <v>0.438307857142857</v>
      </c>
      <c r="S66" s="6">
        <v>0.022487698479</v>
      </c>
      <c r="T66" s="6">
        <v>0.000227590839</v>
      </c>
      <c r="U66" s="6">
        <v>0.110667655561019</v>
      </c>
      <c r="V66" s="6">
        <v>0.0245849934439273</v>
      </c>
      <c r="W66" s="6">
        <v>10.9734059045917</v>
      </c>
      <c r="X66" s="6">
        <v>4.6442005900882</v>
      </c>
      <c r="Y66" s="6">
        <v>15.6176064946799</v>
      </c>
      <c r="Z66" s="6">
        <v>1.233776</v>
      </c>
      <c r="AA66" s="6">
        <v>1.554796</v>
      </c>
      <c r="AB66" s="6">
        <v>2.206224</v>
      </c>
      <c r="AC66" s="6">
        <v>1.885204</v>
      </c>
      <c r="AD66" s="6">
        <v>0.32102</v>
      </c>
      <c r="AE66" s="6">
        <v>1.789</v>
      </c>
      <c r="AF66" s="6">
        <v>4.2466</v>
      </c>
      <c r="AG66" s="6">
        <v>0.901708933082067</v>
      </c>
      <c r="AH66" s="6">
        <v>0.431031831771158</v>
      </c>
      <c r="AI66" s="6">
        <v>0.70670624731921</v>
      </c>
      <c r="AJ66" s="6">
        <v>93.46381928408</v>
      </c>
      <c r="AK66" s="6">
        <v>58.973708642</v>
      </c>
      <c r="AL66" s="6">
        <v>145.54147</v>
      </c>
      <c r="AM66" s="6">
        <v>99.5068</v>
      </c>
      <c r="AN66" s="6">
        <v>5.821166442905</v>
      </c>
      <c r="AO66" s="6">
        <v>6.811038018</v>
      </c>
      <c r="AP66" s="6">
        <v>0</v>
      </c>
      <c r="AQ66" s="6">
        <v>0</v>
      </c>
      <c r="AR66" s="6">
        <v>0.3233</v>
      </c>
      <c r="AS66" s="6">
        <v>0.0178</v>
      </c>
      <c r="AT66" s="6">
        <v>0</v>
      </c>
      <c r="AU66" s="6">
        <v>0.1233</v>
      </c>
      <c r="AV66" s="6">
        <v>0</v>
      </c>
      <c r="AW66" s="6">
        <v>0</v>
      </c>
      <c r="AX66" s="6">
        <v>0.411</v>
      </c>
      <c r="AY66" s="6">
        <v>0</v>
      </c>
      <c r="AZ66" s="6">
        <v>0</v>
      </c>
      <c r="BA66" s="6">
        <v>0.1246</v>
      </c>
      <c r="BB66" s="6">
        <v>0</v>
      </c>
      <c r="BC66" s="6">
        <v>0</v>
      </c>
      <c r="BD66" s="6">
        <v>0</v>
      </c>
      <c r="BE66" s="6">
        <v>0</v>
      </c>
      <c r="BF66" s="6">
        <v>0.2466</v>
      </c>
      <c r="BG66" s="6">
        <v>0</v>
      </c>
      <c r="BH66" s="6">
        <v>0</v>
      </c>
      <c r="BI66" s="6">
        <v>0</v>
      </c>
      <c r="BJ66" s="6">
        <v>0.7534</v>
      </c>
      <c r="BK66" s="6">
        <v>0</v>
      </c>
      <c r="BL66" s="6">
        <v>0</v>
      </c>
      <c r="BM66" s="6">
        <v>0</v>
      </c>
      <c r="BN66" s="6">
        <v>0</v>
      </c>
    </row>
    <row r="67" ht="34.2" customHeight="1" spans="1:66">
      <c r="A67" s="7">
        <v>126</v>
      </c>
      <c r="B67" s="7">
        <v>66</v>
      </c>
      <c r="C67" s="3" t="s">
        <v>132</v>
      </c>
      <c r="D67" s="6">
        <v>0.18</v>
      </c>
      <c r="E67" s="6">
        <v>5.476</v>
      </c>
      <c r="F67" s="6">
        <v>297</v>
      </c>
      <c r="G67" s="6">
        <f t="shared" ref="G67:G98" si="2">E67/F67</f>
        <v>0.0184377104377104</v>
      </c>
      <c r="H67" s="6">
        <v>84.12</v>
      </c>
      <c r="I67" s="3" t="s">
        <v>67</v>
      </c>
      <c r="J67" s="3"/>
      <c r="K67" s="6">
        <v>1</v>
      </c>
      <c r="L67" s="6">
        <v>1</v>
      </c>
      <c r="M67" s="6">
        <v>1.35509</v>
      </c>
      <c r="N67" s="6">
        <v>0.61361</v>
      </c>
      <c r="O67" s="6">
        <v>2.20838969377944</v>
      </c>
      <c r="P67" s="6">
        <v>0.74148</v>
      </c>
      <c r="Q67" s="6">
        <v>0.967487657381144</v>
      </c>
      <c r="R67" s="6">
        <v>0.438292857142857</v>
      </c>
      <c r="S67" s="6">
        <v>0.0224619919</v>
      </c>
      <c r="T67" s="6">
        <v>0.0002272179</v>
      </c>
      <c r="U67" s="6">
        <v>0.110600220490012</v>
      </c>
      <c r="V67" s="6">
        <v>0.0245656829326236</v>
      </c>
      <c r="W67" s="6">
        <v>10.9888282723537</v>
      </c>
      <c r="X67" s="6">
        <v>4.63862103196189</v>
      </c>
      <c r="Y67" s="6">
        <v>15.6274493043156</v>
      </c>
      <c r="Z67" s="6">
        <v>1.23356</v>
      </c>
      <c r="AA67" s="6">
        <v>1.55476</v>
      </c>
      <c r="AB67" s="6">
        <v>2.20644</v>
      </c>
      <c r="AC67" s="6">
        <v>1.88524</v>
      </c>
      <c r="AD67" s="6">
        <v>0.3212</v>
      </c>
      <c r="AE67" s="6">
        <v>1.79</v>
      </c>
      <c r="AF67" s="6">
        <v>4.246</v>
      </c>
      <c r="AG67" s="6">
        <v>0.901054937281851</v>
      </c>
      <c r="AH67" s="6">
        <v>0.430678534408206</v>
      </c>
      <c r="AI67" s="6">
        <v>0.706181279842506</v>
      </c>
      <c r="AJ67" s="6">
        <v>93.4970895048</v>
      </c>
      <c r="AK67" s="6">
        <v>58.94668502</v>
      </c>
      <c r="AL67" s="6">
        <v>145.5857</v>
      </c>
      <c r="AM67" s="6">
        <v>99.508</v>
      </c>
      <c r="AN67" s="6">
        <v>5.82173495755</v>
      </c>
      <c r="AO67" s="6">
        <v>6.81107958</v>
      </c>
      <c r="AP67" s="6">
        <v>0</v>
      </c>
      <c r="AQ67" s="6">
        <v>0</v>
      </c>
      <c r="AR67" s="6">
        <v>0.323</v>
      </c>
      <c r="AS67" s="6">
        <v>0.018</v>
      </c>
      <c r="AT67" s="6">
        <v>0</v>
      </c>
      <c r="AU67" s="6">
        <v>0.123</v>
      </c>
      <c r="AV67" s="6">
        <v>0</v>
      </c>
      <c r="AW67" s="6">
        <v>0</v>
      </c>
      <c r="AX67" s="6">
        <v>0.41</v>
      </c>
      <c r="AY67" s="6">
        <v>0</v>
      </c>
      <c r="AZ67" s="6">
        <v>0</v>
      </c>
      <c r="BA67" s="6">
        <v>0.126</v>
      </c>
      <c r="BB67" s="6">
        <v>0</v>
      </c>
      <c r="BC67" s="6">
        <v>0</v>
      </c>
      <c r="BD67" s="6">
        <v>0</v>
      </c>
      <c r="BE67" s="6">
        <v>0</v>
      </c>
      <c r="BF67" s="6">
        <v>0.246</v>
      </c>
      <c r="BG67" s="6">
        <v>0</v>
      </c>
      <c r="BH67" s="6">
        <v>0</v>
      </c>
      <c r="BI67" s="6">
        <v>0</v>
      </c>
      <c r="BJ67" s="6">
        <v>0.754</v>
      </c>
      <c r="BK67" s="6">
        <v>0</v>
      </c>
      <c r="BL67" s="6">
        <v>0</v>
      </c>
      <c r="BM67" s="6">
        <v>0</v>
      </c>
      <c r="BN67" s="6">
        <v>0</v>
      </c>
    </row>
    <row r="68" ht="34.2" customHeight="1" spans="1:66">
      <c r="A68" s="7">
        <v>127</v>
      </c>
      <c r="B68" s="7">
        <v>67</v>
      </c>
      <c r="C68" s="3" t="s">
        <v>133</v>
      </c>
      <c r="D68" s="6">
        <v>0.182</v>
      </c>
      <c r="E68" s="6">
        <v>5.609</v>
      </c>
      <c r="F68" s="6">
        <v>296</v>
      </c>
      <c r="G68" s="6">
        <f t="shared" si="2"/>
        <v>0.0189493243243243</v>
      </c>
      <c r="H68" s="6">
        <v>84.93</v>
      </c>
      <c r="I68" s="3" t="s">
        <v>67</v>
      </c>
      <c r="J68" s="3"/>
      <c r="K68" s="6">
        <v>1</v>
      </c>
      <c r="L68" s="6">
        <v>1</v>
      </c>
      <c r="M68" s="6">
        <v>1.355141</v>
      </c>
      <c r="N68" s="6">
        <v>0.613589</v>
      </c>
      <c r="O68" s="6">
        <v>2.20854839314264</v>
      </c>
      <c r="P68" s="6">
        <v>0.741552</v>
      </c>
      <c r="Q68" s="6">
        <v>0.967515656981184</v>
      </c>
      <c r="R68" s="6">
        <v>0.438277857142857</v>
      </c>
      <c r="S68" s="6">
        <v>0.022436280119</v>
      </c>
      <c r="T68" s="6">
        <v>0.000226844079</v>
      </c>
      <c r="U68" s="6">
        <v>0.110532741467283</v>
      </c>
      <c r="V68" s="6">
        <v>0.0245463068346134</v>
      </c>
      <c r="W68" s="6">
        <v>11.0040741447253</v>
      </c>
      <c r="X68" s="6">
        <v>4.63302533654687</v>
      </c>
      <c r="Y68" s="6">
        <v>15.6370994812722</v>
      </c>
      <c r="Z68" s="6">
        <v>1.233344</v>
      </c>
      <c r="AA68" s="6">
        <v>1.554724</v>
      </c>
      <c r="AB68" s="6">
        <v>2.206656</v>
      </c>
      <c r="AC68" s="6">
        <v>1.885276</v>
      </c>
      <c r="AD68" s="6">
        <v>0.32138</v>
      </c>
      <c r="AE68" s="6">
        <v>1.791</v>
      </c>
      <c r="AF68" s="6">
        <v>4.2454</v>
      </c>
      <c r="AG68" s="6">
        <v>0.900399355841618</v>
      </c>
      <c r="AH68" s="6">
        <v>0.430324110409817</v>
      </c>
      <c r="AI68" s="6">
        <v>0.705654958177153</v>
      </c>
      <c r="AJ68" s="6">
        <v>93.53035972552</v>
      </c>
      <c r="AK68" s="6">
        <v>58.919661398</v>
      </c>
      <c r="AL68" s="6">
        <v>145.62993</v>
      </c>
      <c r="AM68" s="6">
        <v>99.5092</v>
      </c>
      <c r="AN68" s="6">
        <v>5.822303472195</v>
      </c>
      <c r="AO68" s="6">
        <v>6.811121142</v>
      </c>
      <c r="AP68" s="6">
        <v>0</v>
      </c>
      <c r="AQ68" s="6">
        <v>0</v>
      </c>
      <c r="AR68" s="6">
        <v>0.3227</v>
      </c>
      <c r="AS68" s="6">
        <v>0.0182</v>
      </c>
      <c r="AT68" s="6">
        <v>0</v>
      </c>
      <c r="AU68" s="6">
        <v>0.1227</v>
      </c>
      <c r="AV68" s="6">
        <v>0</v>
      </c>
      <c r="AW68" s="6">
        <v>0</v>
      </c>
      <c r="AX68" s="6">
        <v>0.409</v>
      </c>
      <c r="AY68" s="6">
        <v>0</v>
      </c>
      <c r="AZ68" s="6">
        <v>0</v>
      </c>
      <c r="BA68" s="6">
        <v>0.1274</v>
      </c>
      <c r="BB68" s="6">
        <v>0</v>
      </c>
      <c r="BC68" s="6">
        <v>0</v>
      </c>
      <c r="BD68" s="6">
        <v>0</v>
      </c>
      <c r="BE68" s="6">
        <v>0</v>
      </c>
      <c r="BF68" s="6">
        <v>0.2454</v>
      </c>
      <c r="BG68" s="6">
        <v>0</v>
      </c>
      <c r="BH68" s="6">
        <v>0</v>
      </c>
      <c r="BI68" s="6">
        <v>0</v>
      </c>
      <c r="BJ68" s="6">
        <v>0.7546</v>
      </c>
      <c r="BK68" s="6">
        <v>0</v>
      </c>
      <c r="BL68" s="6">
        <v>0</v>
      </c>
      <c r="BM68" s="6">
        <v>0</v>
      </c>
      <c r="BN68" s="6">
        <v>0</v>
      </c>
    </row>
    <row r="69" ht="34.2" customHeight="1" spans="1:66">
      <c r="A69" s="7">
        <v>128</v>
      </c>
      <c r="B69" s="7">
        <v>68</v>
      </c>
      <c r="C69" s="3" t="s">
        <v>134</v>
      </c>
      <c r="D69" s="6">
        <v>0.184</v>
      </c>
      <c r="E69" s="6">
        <v>5.555</v>
      </c>
      <c r="F69" s="6">
        <v>294</v>
      </c>
      <c r="G69" s="6">
        <f t="shared" si="2"/>
        <v>0.0188945578231293</v>
      </c>
      <c r="H69" s="6">
        <v>84.03</v>
      </c>
      <c r="I69" s="3" t="s">
        <v>67</v>
      </c>
      <c r="J69" s="3"/>
      <c r="K69" s="6">
        <v>1</v>
      </c>
      <c r="L69" s="6">
        <v>1</v>
      </c>
      <c r="M69" s="6">
        <v>1.355192</v>
      </c>
      <c r="N69" s="6">
        <v>0.613568</v>
      </c>
      <c r="O69" s="6">
        <v>2.20870710336915</v>
      </c>
      <c r="P69" s="6">
        <v>0.741624</v>
      </c>
      <c r="Q69" s="6">
        <v>0.967543657165254</v>
      </c>
      <c r="R69" s="6">
        <v>0.438262857142857</v>
      </c>
      <c r="S69" s="6">
        <v>0.022410563136</v>
      </c>
      <c r="T69" s="6">
        <v>0.000226469376</v>
      </c>
      <c r="U69" s="6">
        <v>0.110465218413494</v>
      </c>
      <c r="V69" s="6">
        <v>0.0245268649842356</v>
      </c>
      <c r="W69" s="6">
        <v>11.0191450795098</v>
      </c>
      <c r="X69" s="6">
        <v>4.62741347725012</v>
      </c>
      <c r="Y69" s="6">
        <v>15.6465585567599</v>
      </c>
      <c r="Z69" s="6">
        <v>1.233128</v>
      </c>
      <c r="AA69" s="6">
        <v>1.554688</v>
      </c>
      <c r="AB69" s="6">
        <v>2.206872</v>
      </c>
      <c r="AC69" s="6">
        <v>1.885312</v>
      </c>
      <c r="AD69" s="6">
        <v>0.32156</v>
      </c>
      <c r="AE69" s="6">
        <v>1.792</v>
      </c>
      <c r="AF69" s="6">
        <v>4.2448</v>
      </c>
      <c r="AG69" s="6">
        <v>0.899742185295321</v>
      </c>
      <c r="AH69" s="6">
        <v>0.429968556989927</v>
      </c>
      <c r="AI69" s="6">
        <v>0.705127279290767</v>
      </c>
      <c r="AJ69" s="6">
        <v>93.56362994624</v>
      </c>
      <c r="AK69" s="6">
        <v>58.892637776</v>
      </c>
      <c r="AL69" s="6">
        <v>145.67416</v>
      </c>
      <c r="AM69" s="6">
        <v>99.5104</v>
      </c>
      <c r="AN69" s="6">
        <v>5.82287198684</v>
      </c>
      <c r="AO69" s="6">
        <v>6.811162704</v>
      </c>
      <c r="AP69" s="6">
        <v>0</v>
      </c>
      <c r="AQ69" s="6">
        <v>0</v>
      </c>
      <c r="AR69" s="6">
        <v>0.3224</v>
      </c>
      <c r="AS69" s="6">
        <v>0.0184</v>
      </c>
      <c r="AT69" s="6">
        <v>0</v>
      </c>
      <c r="AU69" s="6">
        <v>0.1224</v>
      </c>
      <c r="AV69" s="6">
        <v>0</v>
      </c>
      <c r="AW69" s="6">
        <v>0</v>
      </c>
      <c r="AX69" s="6">
        <v>0.408</v>
      </c>
      <c r="AY69" s="6">
        <v>0</v>
      </c>
      <c r="AZ69" s="6">
        <v>0</v>
      </c>
      <c r="BA69" s="6">
        <v>0.1288</v>
      </c>
      <c r="BB69" s="6">
        <v>0</v>
      </c>
      <c r="BC69" s="6">
        <v>0</v>
      </c>
      <c r="BD69" s="6">
        <v>0</v>
      </c>
      <c r="BE69" s="6">
        <v>0</v>
      </c>
      <c r="BF69" s="6">
        <v>0.2448</v>
      </c>
      <c r="BG69" s="6">
        <v>0</v>
      </c>
      <c r="BH69" s="6">
        <v>0</v>
      </c>
      <c r="BI69" s="6">
        <v>0</v>
      </c>
      <c r="BJ69" s="6">
        <v>0.7552</v>
      </c>
      <c r="BK69" s="6">
        <v>0</v>
      </c>
      <c r="BL69" s="6">
        <v>0</v>
      </c>
      <c r="BM69" s="6">
        <v>0</v>
      </c>
      <c r="BN69" s="6">
        <v>0</v>
      </c>
    </row>
    <row r="70" ht="34.2" customHeight="1" spans="1:66">
      <c r="A70" s="7">
        <v>129</v>
      </c>
      <c r="B70" s="7">
        <v>69</v>
      </c>
      <c r="C70" s="3" t="s">
        <v>135</v>
      </c>
      <c r="D70" s="6">
        <v>0.186</v>
      </c>
      <c r="E70" s="6">
        <v>5.496</v>
      </c>
      <c r="F70" s="6">
        <v>293</v>
      </c>
      <c r="G70" s="6">
        <f t="shared" si="2"/>
        <v>0.0187576791808874</v>
      </c>
      <c r="H70" s="6">
        <v>83.55</v>
      </c>
      <c r="I70" s="3" t="s">
        <v>67</v>
      </c>
      <c r="J70" s="3"/>
      <c r="K70" s="6">
        <v>1</v>
      </c>
      <c r="L70" s="6">
        <v>1</v>
      </c>
      <c r="M70" s="6">
        <v>1.355243</v>
      </c>
      <c r="N70" s="6">
        <v>0.613547</v>
      </c>
      <c r="O70" s="6">
        <v>2.20886582446006</v>
      </c>
      <c r="P70" s="6">
        <v>0.741696</v>
      </c>
      <c r="Q70" s="6">
        <v>0.967571657933372</v>
      </c>
      <c r="R70" s="6">
        <v>0.438247857142857</v>
      </c>
      <c r="S70" s="6">
        <v>0.022384840951</v>
      </c>
      <c r="T70" s="6">
        <v>0.000226093791</v>
      </c>
      <c r="U70" s="6">
        <v>0.110397651249064</v>
      </c>
      <c r="V70" s="6">
        <v>0.0245073572147733</v>
      </c>
      <c r="W70" s="6">
        <v>11.0340425988749</v>
      </c>
      <c r="X70" s="6">
        <v>4.62178542732774</v>
      </c>
      <c r="Y70" s="6">
        <v>15.6558280262027</v>
      </c>
      <c r="Z70" s="6">
        <v>1.232912</v>
      </c>
      <c r="AA70" s="6">
        <v>1.554652</v>
      </c>
      <c r="AB70" s="6">
        <v>2.207088</v>
      </c>
      <c r="AC70" s="6">
        <v>1.885348</v>
      </c>
      <c r="AD70" s="6">
        <v>0.32174</v>
      </c>
      <c r="AE70" s="6">
        <v>1.793</v>
      </c>
      <c r="AF70" s="6">
        <v>4.2442</v>
      </c>
      <c r="AG70" s="6">
        <v>0.899083422158367</v>
      </c>
      <c r="AH70" s="6">
        <v>0.429611871344357</v>
      </c>
      <c r="AI70" s="6">
        <v>0.70459824013405</v>
      </c>
      <c r="AJ70" s="6">
        <v>93.59690016696</v>
      </c>
      <c r="AK70" s="6">
        <v>58.865614154</v>
      </c>
      <c r="AL70" s="6">
        <v>145.71839</v>
      </c>
      <c r="AM70" s="6">
        <v>99.5116</v>
      </c>
      <c r="AN70" s="6">
        <v>5.823440501485</v>
      </c>
      <c r="AO70" s="6">
        <v>6.811204266</v>
      </c>
      <c r="AP70" s="6">
        <v>0</v>
      </c>
      <c r="AQ70" s="6">
        <v>0</v>
      </c>
      <c r="AR70" s="6">
        <v>0.3221</v>
      </c>
      <c r="AS70" s="6">
        <v>0.0186</v>
      </c>
      <c r="AT70" s="6">
        <v>0</v>
      </c>
      <c r="AU70" s="6">
        <v>0.1221</v>
      </c>
      <c r="AV70" s="6">
        <v>0</v>
      </c>
      <c r="AW70" s="6">
        <v>0</v>
      </c>
      <c r="AX70" s="6">
        <v>0.407</v>
      </c>
      <c r="AY70" s="6">
        <v>0</v>
      </c>
      <c r="AZ70" s="6">
        <v>0</v>
      </c>
      <c r="BA70" s="6">
        <v>0.1302</v>
      </c>
      <c r="BB70" s="6">
        <v>0</v>
      </c>
      <c r="BC70" s="6">
        <v>0</v>
      </c>
      <c r="BD70" s="6">
        <v>0</v>
      </c>
      <c r="BE70" s="6">
        <v>0</v>
      </c>
      <c r="BF70" s="6">
        <v>0.2442</v>
      </c>
      <c r="BG70" s="6">
        <v>0</v>
      </c>
      <c r="BH70" s="6">
        <v>0</v>
      </c>
      <c r="BI70" s="6">
        <v>0</v>
      </c>
      <c r="BJ70" s="6">
        <v>0.7558</v>
      </c>
      <c r="BK70" s="6">
        <v>0</v>
      </c>
      <c r="BL70" s="6">
        <v>0</v>
      </c>
      <c r="BM70" s="6">
        <v>0</v>
      </c>
      <c r="BN70" s="6">
        <v>0</v>
      </c>
    </row>
    <row r="71" ht="34.2" customHeight="1" spans="1:66">
      <c r="A71" s="7">
        <v>130</v>
      </c>
      <c r="B71" s="7">
        <v>70</v>
      </c>
      <c r="C71" s="3" t="s">
        <v>136</v>
      </c>
      <c r="D71" s="6">
        <v>0.188</v>
      </c>
      <c r="E71" s="6">
        <v>5.435</v>
      </c>
      <c r="F71" s="6">
        <v>292</v>
      </c>
      <c r="G71" s="6">
        <f t="shared" si="2"/>
        <v>0.0186130136986301</v>
      </c>
      <c r="H71" s="6">
        <v>83.96</v>
      </c>
      <c r="I71" s="3" t="s">
        <v>67</v>
      </c>
      <c r="J71" s="3"/>
      <c r="K71" s="6">
        <v>1</v>
      </c>
      <c r="L71" s="6">
        <v>1</v>
      </c>
      <c r="M71" s="6">
        <v>1.355294</v>
      </c>
      <c r="N71" s="6">
        <v>0.613526</v>
      </c>
      <c r="O71" s="6">
        <v>2.20902455641652</v>
      </c>
      <c r="P71" s="6">
        <v>0.741768</v>
      </c>
      <c r="Q71" s="6">
        <v>0.967599659285556</v>
      </c>
      <c r="R71" s="6">
        <v>0.438232857142857</v>
      </c>
      <c r="S71" s="6">
        <v>0.022359113564</v>
      </c>
      <c r="T71" s="6">
        <v>0.000225717324</v>
      </c>
      <c r="U71" s="6">
        <v>0.110330039894159</v>
      </c>
      <c r="V71" s="6">
        <v>0.0244877833584447</v>
      </c>
      <c r="W71" s="6">
        <v>11.04876819049</v>
      </c>
      <c r="X71" s="6">
        <v>4.61614115988395</v>
      </c>
      <c r="Y71" s="6">
        <v>15.6649093503739</v>
      </c>
      <c r="Z71" s="6">
        <v>1.232696</v>
      </c>
      <c r="AA71" s="6">
        <v>1.554616</v>
      </c>
      <c r="AB71" s="6">
        <v>2.207304</v>
      </c>
      <c r="AC71" s="6">
        <v>1.885384</v>
      </c>
      <c r="AD71" s="6">
        <v>0.32192</v>
      </c>
      <c r="AE71" s="6">
        <v>1.794</v>
      </c>
      <c r="AF71" s="6">
        <v>4.2436</v>
      </c>
      <c r="AG71" s="6">
        <v>0.898423062927483</v>
      </c>
      <c r="AH71" s="6">
        <v>0.429254050650661</v>
      </c>
      <c r="AI71" s="6">
        <v>0.704067837640664</v>
      </c>
      <c r="AJ71" s="6">
        <v>93.63017038768</v>
      </c>
      <c r="AK71" s="6">
        <v>58.838590532</v>
      </c>
      <c r="AL71" s="6">
        <v>145.76262</v>
      </c>
      <c r="AM71" s="6">
        <v>99.5128</v>
      </c>
      <c r="AN71" s="6">
        <v>5.82400901613</v>
      </c>
      <c r="AO71" s="6">
        <v>6.811245828</v>
      </c>
      <c r="AP71" s="6">
        <v>0</v>
      </c>
      <c r="AQ71" s="6">
        <v>0</v>
      </c>
      <c r="AR71" s="6">
        <v>0.3218</v>
      </c>
      <c r="AS71" s="6">
        <v>0.0188</v>
      </c>
      <c r="AT71" s="6">
        <v>0</v>
      </c>
      <c r="AU71" s="6">
        <v>0.1218</v>
      </c>
      <c r="AV71" s="6">
        <v>0</v>
      </c>
      <c r="AW71" s="6">
        <v>0</v>
      </c>
      <c r="AX71" s="6">
        <v>0.406</v>
      </c>
      <c r="AY71" s="6">
        <v>0</v>
      </c>
      <c r="AZ71" s="6">
        <v>0</v>
      </c>
      <c r="BA71" s="6">
        <v>0.1316</v>
      </c>
      <c r="BB71" s="6">
        <v>0</v>
      </c>
      <c r="BC71" s="6">
        <v>0</v>
      </c>
      <c r="BD71" s="6">
        <v>0</v>
      </c>
      <c r="BE71" s="6">
        <v>0</v>
      </c>
      <c r="BF71" s="6">
        <v>0.2436</v>
      </c>
      <c r="BG71" s="6">
        <v>0</v>
      </c>
      <c r="BH71" s="6">
        <v>0</v>
      </c>
      <c r="BI71" s="6">
        <v>0</v>
      </c>
      <c r="BJ71" s="6">
        <v>0.7564</v>
      </c>
      <c r="BK71" s="6">
        <v>0</v>
      </c>
      <c r="BL71" s="6">
        <v>0</v>
      </c>
      <c r="BM71" s="6">
        <v>0</v>
      </c>
      <c r="BN71" s="6">
        <v>0</v>
      </c>
    </row>
    <row r="72" ht="34.2" customHeight="1" spans="1:66">
      <c r="A72" s="7">
        <v>131</v>
      </c>
      <c r="B72" s="7">
        <v>71</v>
      </c>
      <c r="C72" s="3" t="s">
        <v>137</v>
      </c>
      <c r="D72" s="6">
        <v>0.19</v>
      </c>
      <c r="E72" s="6">
        <v>5.496</v>
      </c>
      <c r="F72" s="6">
        <v>291</v>
      </c>
      <c r="G72" s="6">
        <f t="shared" si="2"/>
        <v>0.0188865979381443</v>
      </c>
      <c r="H72" s="6">
        <v>83.12</v>
      </c>
      <c r="I72" s="3" t="s">
        <v>67</v>
      </c>
      <c r="J72" s="3"/>
      <c r="K72" s="6">
        <v>1</v>
      </c>
      <c r="L72" s="6">
        <v>1</v>
      </c>
      <c r="M72" s="6">
        <v>1.355345</v>
      </c>
      <c r="N72" s="6">
        <v>0.613505</v>
      </c>
      <c r="O72" s="6">
        <v>2.20918329923961</v>
      </c>
      <c r="P72" s="6">
        <v>0.74184</v>
      </c>
      <c r="Q72" s="6">
        <v>0.967627661221823</v>
      </c>
      <c r="R72" s="6">
        <v>0.438217857142857</v>
      </c>
      <c r="S72" s="6">
        <v>0.022333380975</v>
      </c>
      <c r="T72" s="6">
        <v>0.000225339975</v>
      </c>
      <c r="U72" s="6">
        <v>0.110262384268699</v>
      </c>
      <c r="V72" s="6">
        <v>0.0244681432463946</v>
      </c>
      <c r="W72" s="6">
        <v>11.0633233086142</v>
      </c>
      <c r="X72" s="6">
        <v>4.61048064786997</v>
      </c>
      <c r="Y72" s="6">
        <v>15.6738039564842</v>
      </c>
      <c r="Z72" s="6">
        <v>1.23248</v>
      </c>
      <c r="AA72" s="6">
        <v>1.55458</v>
      </c>
      <c r="AB72" s="6">
        <v>2.20752</v>
      </c>
      <c r="AC72" s="6">
        <v>1.88542</v>
      </c>
      <c r="AD72" s="6">
        <v>0.3221</v>
      </c>
      <c r="AE72" s="6">
        <v>1.795</v>
      </c>
      <c r="AF72" s="6">
        <v>4.243</v>
      </c>
      <c r="AG72" s="6">
        <v>0.89776110408059</v>
      </c>
      <c r="AH72" s="6">
        <v>0.428895092067979</v>
      </c>
      <c r="AI72" s="6">
        <v>0.703536068727112</v>
      </c>
      <c r="AJ72" s="6">
        <v>93.6634406084</v>
      </c>
      <c r="AK72" s="6">
        <v>58.81156691</v>
      </c>
      <c r="AL72" s="6">
        <v>145.80685</v>
      </c>
      <c r="AM72" s="6">
        <v>99.514</v>
      </c>
      <c r="AN72" s="6">
        <v>5.824577530775</v>
      </c>
      <c r="AO72" s="6">
        <v>6.81128739</v>
      </c>
      <c r="AP72" s="6">
        <v>0</v>
      </c>
      <c r="AQ72" s="6">
        <v>0</v>
      </c>
      <c r="AR72" s="6">
        <v>0.3215</v>
      </c>
      <c r="AS72" s="6">
        <v>0.019</v>
      </c>
      <c r="AT72" s="6">
        <v>0</v>
      </c>
      <c r="AU72" s="6">
        <v>0.1215</v>
      </c>
      <c r="AV72" s="6">
        <v>0</v>
      </c>
      <c r="AW72" s="6">
        <v>0</v>
      </c>
      <c r="AX72" s="6">
        <v>0.405</v>
      </c>
      <c r="AY72" s="6">
        <v>0</v>
      </c>
      <c r="AZ72" s="6">
        <v>0</v>
      </c>
      <c r="BA72" s="6">
        <v>0.133</v>
      </c>
      <c r="BB72" s="6">
        <v>0</v>
      </c>
      <c r="BC72" s="6">
        <v>0</v>
      </c>
      <c r="BD72" s="6">
        <v>0</v>
      </c>
      <c r="BE72" s="6">
        <v>0</v>
      </c>
      <c r="BF72" s="6">
        <v>0.243</v>
      </c>
      <c r="BG72" s="6">
        <v>0</v>
      </c>
      <c r="BH72" s="6">
        <v>0</v>
      </c>
      <c r="BI72" s="6">
        <v>0</v>
      </c>
      <c r="BJ72" s="6">
        <v>0.757</v>
      </c>
      <c r="BK72" s="6">
        <v>0</v>
      </c>
      <c r="BL72" s="6">
        <v>0</v>
      </c>
      <c r="BM72" s="6">
        <v>0</v>
      </c>
      <c r="BN72" s="6">
        <v>0</v>
      </c>
    </row>
    <row r="73" ht="34.2" customHeight="1" spans="1:66">
      <c r="A73" s="7">
        <v>132</v>
      </c>
      <c r="B73" s="7">
        <v>72</v>
      </c>
      <c r="C73" s="3" t="s">
        <v>138</v>
      </c>
      <c r="D73" s="6">
        <v>0.192</v>
      </c>
      <c r="E73" s="6">
        <v>5.321</v>
      </c>
      <c r="F73" s="6">
        <v>290</v>
      </c>
      <c r="G73" s="6">
        <f t="shared" si="2"/>
        <v>0.018348275862069</v>
      </c>
      <c r="H73" s="6">
        <v>82.97</v>
      </c>
      <c r="I73" s="3" t="s">
        <v>67</v>
      </c>
      <c r="J73" s="3"/>
      <c r="K73" s="6">
        <v>1</v>
      </c>
      <c r="L73" s="6">
        <v>1</v>
      </c>
      <c r="M73" s="6">
        <v>1.355396</v>
      </c>
      <c r="N73" s="6">
        <v>0.613484</v>
      </c>
      <c r="O73" s="6">
        <v>2.20934205293048</v>
      </c>
      <c r="P73" s="6">
        <v>0.741912</v>
      </c>
      <c r="Q73" s="6">
        <v>0.967655663742194</v>
      </c>
      <c r="R73" s="6">
        <v>0.438202857142857</v>
      </c>
      <c r="S73" s="6">
        <v>0.022307643184</v>
      </c>
      <c r="T73" s="6">
        <v>0.000224961744</v>
      </c>
      <c r="U73" s="6">
        <v>0.110194684292353</v>
      </c>
      <c r="V73" s="6">
        <v>0.024448436708685</v>
      </c>
      <c r="W73" s="6">
        <v>11.0777093751395</v>
      </c>
      <c r="X73" s="6">
        <v>4.60480386408296</v>
      </c>
      <c r="Y73" s="6">
        <v>15.6825132392224</v>
      </c>
      <c r="Z73" s="6">
        <v>1.232264</v>
      </c>
      <c r="AA73" s="6">
        <v>1.554544</v>
      </c>
      <c r="AB73" s="6">
        <v>2.207736</v>
      </c>
      <c r="AC73" s="6">
        <v>1.885456</v>
      </c>
      <c r="AD73" s="6">
        <v>0.32228</v>
      </c>
      <c r="AE73" s="6">
        <v>1.796</v>
      </c>
      <c r="AF73" s="6">
        <v>4.2424</v>
      </c>
      <c r="AG73" s="6">
        <v>0.897097542076668</v>
      </c>
      <c r="AH73" s="6">
        <v>0.428534992736883</v>
      </c>
      <c r="AI73" s="6">
        <v>0.703002930292613</v>
      </c>
      <c r="AJ73" s="6">
        <v>93.69671082912</v>
      </c>
      <c r="AK73" s="6">
        <v>58.784543288</v>
      </c>
      <c r="AL73" s="6">
        <v>145.85108</v>
      </c>
      <c r="AM73" s="6">
        <v>99.5152</v>
      </c>
      <c r="AN73" s="6">
        <v>5.82514604542</v>
      </c>
      <c r="AO73" s="6">
        <v>6.811328952</v>
      </c>
      <c r="AP73" s="6">
        <v>0</v>
      </c>
      <c r="AQ73" s="6">
        <v>0</v>
      </c>
      <c r="AR73" s="6">
        <v>0.3212</v>
      </c>
      <c r="AS73" s="6">
        <v>0.0192</v>
      </c>
      <c r="AT73" s="6">
        <v>0</v>
      </c>
      <c r="AU73" s="6">
        <v>0.1212</v>
      </c>
      <c r="AV73" s="6">
        <v>0</v>
      </c>
      <c r="AW73" s="6">
        <v>0</v>
      </c>
      <c r="AX73" s="6">
        <v>0.404</v>
      </c>
      <c r="AY73" s="6">
        <v>0</v>
      </c>
      <c r="AZ73" s="6">
        <v>0</v>
      </c>
      <c r="BA73" s="6">
        <v>0.1344</v>
      </c>
      <c r="BB73" s="6">
        <v>0</v>
      </c>
      <c r="BC73" s="6">
        <v>0</v>
      </c>
      <c r="BD73" s="6">
        <v>0</v>
      </c>
      <c r="BE73" s="6">
        <v>0</v>
      </c>
      <c r="BF73" s="6">
        <v>0.2424</v>
      </c>
      <c r="BG73" s="6">
        <v>0</v>
      </c>
      <c r="BH73" s="6">
        <v>0</v>
      </c>
      <c r="BI73" s="6">
        <v>0</v>
      </c>
      <c r="BJ73" s="6">
        <v>0.7576</v>
      </c>
      <c r="BK73" s="6">
        <v>0</v>
      </c>
      <c r="BL73" s="6">
        <v>0</v>
      </c>
      <c r="BM73" s="6">
        <v>0</v>
      </c>
      <c r="BN73" s="6">
        <v>0</v>
      </c>
    </row>
    <row r="74" ht="34.2" customHeight="1" spans="1:66">
      <c r="A74" s="7">
        <v>133</v>
      </c>
      <c r="B74" s="7">
        <v>73</v>
      </c>
      <c r="C74" s="3" t="s">
        <v>139</v>
      </c>
      <c r="D74" s="6">
        <v>0.194</v>
      </c>
      <c r="E74" s="6">
        <v>5.272</v>
      </c>
      <c r="F74" s="6">
        <v>289</v>
      </c>
      <c r="G74" s="6">
        <f t="shared" si="2"/>
        <v>0.018242214532872</v>
      </c>
      <c r="H74" s="6">
        <v>81.33</v>
      </c>
      <c r="I74" s="3" t="s">
        <v>67</v>
      </c>
      <c r="J74" s="3"/>
      <c r="K74" s="6">
        <v>1</v>
      </c>
      <c r="L74" s="6">
        <v>1</v>
      </c>
      <c r="M74" s="6">
        <v>1.355447</v>
      </c>
      <c r="N74" s="6">
        <v>0.613463</v>
      </c>
      <c r="O74" s="6">
        <v>2.20950081749021</v>
      </c>
      <c r="P74" s="6">
        <v>0.741984</v>
      </c>
      <c r="Q74" s="6">
        <v>0.967683666846686</v>
      </c>
      <c r="R74" s="6">
        <v>0.438187857142857</v>
      </c>
      <c r="S74" s="6">
        <v>0.022281900191</v>
      </c>
      <c r="T74" s="6">
        <v>0.000224582631</v>
      </c>
      <c r="U74" s="6">
        <v>0.110126939884539</v>
      </c>
      <c r="V74" s="6">
        <v>0.0244286635742869</v>
      </c>
      <c r="W74" s="6">
        <v>11.0919277805888</v>
      </c>
      <c r="X74" s="6">
        <v>4.59911078116491</v>
      </c>
      <c r="Y74" s="6">
        <v>15.6910385617537</v>
      </c>
      <c r="Z74" s="6">
        <v>1.232048</v>
      </c>
      <c r="AA74" s="6">
        <v>1.554508</v>
      </c>
      <c r="AB74" s="6">
        <v>2.207952</v>
      </c>
      <c r="AC74" s="6">
        <v>1.885492</v>
      </c>
      <c r="AD74" s="6">
        <v>0.32246</v>
      </c>
      <c r="AE74" s="6">
        <v>1.797</v>
      </c>
      <c r="AF74" s="6">
        <v>4.2418</v>
      </c>
      <c r="AG74" s="6">
        <v>0.896432373355626</v>
      </c>
      <c r="AH74" s="6">
        <v>0.428173749779222</v>
      </c>
      <c r="AI74" s="6">
        <v>0.702468419218971</v>
      </c>
      <c r="AJ74" s="6">
        <v>93.72998104984</v>
      </c>
      <c r="AK74" s="6">
        <v>58.757519666</v>
      </c>
      <c r="AL74" s="6">
        <v>145.89531</v>
      </c>
      <c r="AM74" s="6">
        <v>99.5164</v>
      </c>
      <c r="AN74" s="6">
        <v>5.825714560065</v>
      </c>
      <c r="AO74" s="6">
        <v>6.811370514</v>
      </c>
      <c r="AP74" s="6">
        <v>0</v>
      </c>
      <c r="AQ74" s="6">
        <v>0</v>
      </c>
      <c r="AR74" s="6">
        <v>0.3209</v>
      </c>
      <c r="AS74" s="6">
        <v>0.0194</v>
      </c>
      <c r="AT74" s="6">
        <v>0</v>
      </c>
      <c r="AU74" s="6">
        <v>0.1209</v>
      </c>
      <c r="AV74" s="6">
        <v>0</v>
      </c>
      <c r="AW74" s="6">
        <v>0</v>
      </c>
      <c r="AX74" s="6">
        <v>0.403</v>
      </c>
      <c r="AY74" s="6">
        <v>0</v>
      </c>
      <c r="AZ74" s="6">
        <v>0</v>
      </c>
      <c r="BA74" s="6">
        <v>0.1358</v>
      </c>
      <c r="BB74" s="6">
        <v>0</v>
      </c>
      <c r="BC74" s="6">
        <v>0</v>
      </c>
      <c r="BD74" s="6">
        <v>0</v>
      </c>
      <c r="BE74" s="6">
        <v>0</v>
      </c>
      <c r="BF74" s="6">
        <v>0.2418</v>
      </c>
      <c r="BG74" s="6">
        <v>0</v>
      </c>
      <c r="BH74" s="6">
        <v>0</v>
      </c>
      <c r="BI74" s="6">
        <v>0</v>
      </c>
      <c r="BJ74" s="6">
        <v>0.7582</v>
      </c>
      <c r="BK74" s="6">
        <v>0</v>
      </c>
      <c r="BL74" s="6">
        <v>0</v>
      </c>
      <c r="BM74" s="6">
        <v>0</v>
      </c>
      <c r="BN74" s="6">
        <v>0</v>
      </c>
    </row>
    <row r="75" ht="34.2" customHeight="1" spans="1:66">
      <c r="A75" s="7">
        <v>134</v>
      </c>
      <c r="B75" s="7">
        <v>74</v>
      </c>
      <c r="C75" s="3" t="s">
        <v>140</v>
      </c>
      <c r="D75" s="6">
        <v>0.196</v>
      </c>
      <c r="E75" s="6">
        <v>5.232</v>
      </c>
      <c r="F75" s="6">
        <v>288</v>
      </c>
      <c r="G75" s="6">
        <f t="shared" si="2"/>
        <v>0.0181666666666667</v>
      </c>
      <c r="H75" s="6">
        <v>82.56</v>
      </c>
      <c r="I75" s="3" t="s">
        <v>67</v>
      </c>
      <c r="J75" s="3"/>
      <c r="K75" s="6">
        <v>1</v>
      </c>
      <c r="L75" s="6">
        <v>1</v>
      </c>
      <c r="M75" s="6">
        <v>1.355498</v>
      </c>
      <c r="N75" s="6">
        <v>0.613442</v>
      </c>
      <c r="O75" s="6">
        <v>2.20965959291995</v>
      </c>
      <c r="P75" s="6">
        <v>0.742056</v>
      </c>
      <c r="Q75" s="6">
        <v>0.967711670535317</v>
      </c>
      <c r="R75" s="6">
        <v>0.438172857142857</v>
      </c>
      <c r="S75" s="6">
        <v>0.022256151996</v>
      </c>
      <c r="T75" s="6">
        <v>0.000224202636</v>
      </c>
      <c r="U75" s="6">
        <v>0.110059150964421</v>
      </c>
      <c r="V75" s="6">
        <v>0.0244088236710708</v>
      </c>
      <c r="W75" s="6">
        <v>11.1059798850743</v>
      </c>
      <c r="X75" s="6">
        <v>4.59340137160155</v>
      </c>
      <c r="Y75" s="6">
        <v>15.6993812566758</v>
      </c>
      <c r="Z75" s="6">
        <v>1.231832</v>
      </c>
      <c r="AA75" s="6">
        <v>1.554472</v>
      </c>
      <c r="AB75" s="6">
        <v>2.208168</v>
      </c>
      <c r="AC75" s="6">
        <v>1.885528</v>
      </c>
      <c r="AD75" s="6">
        <v>0.32264</v>
      </c>
      <c r="AE75" s="6">
        <v>1.798</v>
      </c>
      <c r="AF75" s="6">
        <v>4.2412</v>
      </c>
      <c r="AG75" s="6">
        <v>0.895765594338162</v>
      </c>
      <c r="AH75" s="6">
        <v>0.427811360297971</v>
      </c>
      <c r="AI75" s="6">
        <v>0.701932532370455</v>
      </c>
      <c r="AJ75" s="6">
        <v>93.76325127056</v>
      </c>
      <c r="AK75" s="6">
        <v>58.730496044</v>
      </c>
      <c r="AL75" s="6">
        <v>145.93954</v>
      </c>
      <c r="AM75" s="6">
        <v>99.5176</v>
      </c>
      <c r="AN75" s="6">
        <v>5.82628307471</v>
      </c>
      <c r="AO75" s="6">
        <v>6.811412076</v>
      </c>
      <c r="AP75" s="6">
        <v>0</v>
      </c>
      <c r="AQ75" s="6">
        <v>0</v>
      </c>
      <c r="AR75" s="6">
        <v>0.3206</v>
      </c>
      <c r="AS75" s="6">
        <v>0.0196</v>
      </c>
      <c r="AT75" s="6">
        <v>0</v>
      </c>
      <c r="AU75" s="6">
        <v>0.1206</v>
      </c>
      <c r="AV75" s="6">
        <v>0</v>
      </c>
      <c r="AW75" s="6">
        <v>0</v>
      </c>
      <c r="AX75" s="6">
        <v>0.402</v>
      </c>
      <c r="AY75" s="6">
        <v>0</v>
      </c>
      <c r="AZ75" s="6">
        <v>0</v>
      </c>
      <c r="BA75" s="6">
        <v>0.1372</v>
      </c>
      <c r="BB75" s="6">
        <v>0</v>
      </c>
      <c r="BC75" s="6">
        <v>0</v>
      </c>
      <c r="BD75" s="6">
        <v>0</v>
      </c>
      <c r="BE75" s="6">
        <v>0</v>
      </c>
      <c r="BF75" s="6">
        <v>0.2412</v>
      </c>
      <c r="BG75" s="6">
        <v>0</v>
      </c>
      <c r="BH75" s="6">
        <v>0</v>
      </c>
      <c r="BI75" s="6">
        <v>0</v>
      </c>
      <c r="BJ75" s="6">
        <v>0.7588</v>
      </c>
      <c r="BK75" s="6">
        <v>0</v>
      </c>
      <c r="BL75" s="6">
        <v>0</v>
      </c>
      <c r="BM75" s="6">
        <v>0</v>
      </c>
      <c r="BN75" s="6">
        <v>0</v>
      </c>
    </row>
    <row r="76" ht="34.2" customHeight="1" spans="1:66">
      <c r="A76" s="7">
        <v>135</v>
      </c>
      <c r="B76" s="7">
        <v>75</v>
      </c>
      <c r="C76" s="3" t="s">
        <v>141</v>
      </c>
      <c r="D76" s="6">
        <v>0.198</v>
      </c>
      <c r="E76" s="6">
        <v>5.201</v>
      </c>
      <c r="F76" s="6">
        <v>287</v>
      </c>
      <c r="G76" s="6">
        <f t="shared" si="2"/>
        <v>0.0181219512195122</v>
      </c>
      <c r="H76" s="6">
        <v>82.98</v>
      </c>
      <c r="I76" s="3" t="s">
        <v>67</v>
      </c>
      <c r="J76" s="3"/>
      <c r="K76" s="6">
        <v>1</v>
      </c>
      <c r="L76" s="6">
        <v>1</v>
      </c>
      <c r="M76" s="6">
        <v>1.355549</v>
      </c>
      <c r="N76" s="6">
        <v>0.613421</v>
      </c>
      <c r="O76" s="6">
        <v>2.2098183792208</v>
      </c>
      <c r="P76" s="6">
        <v>0.742128</v>
      </c>
      <c r="Q76" s="6">
        <v>0.967739674808105</v>
      </c>
      <c r="R76" s="6">
        <v>0.438157857142857</v>
      </c>
      <c r="S76" s="6">
        <v>0.022230398599</v>
      </c>
      <c r="T76" s="6">
        <v>0.000223821759</v>
      </c>
      <c r="U76" s="6">
        <v>0.109991317450911</v>
      </c>
      <c r="V76" s="6">
        <v>0.0243889168257971</v>
      </c>
      <c r="W76" s="6">
        <v>11.1198670192155</v>
      </c>
      <c r="X76" s="6">
        <v>4.58767560772121</v>
      </c>
      <c r="Y76" s="6">
        <v>15.7075426269367</v>
      </c>
      <c r="Z76" s="6">
        <v>1.231616</v>
      </c>
      <c r="AA76" s="6">
        <v>1.554436</v>
      </c>
      <c r="AB76" s="6">
        <v>2.208384</v>
      </c>
      <c r="AC76" s="6">
        <v>1.885564</v>
      </c>
      <c r="AD76" s="6">
        <v>0.32282</v>
      </c>
      <c r="AE76" s="6">
        <v>1.799</v>
      </c>
      <c r="AF76" s="6">
        <v>4.2406</v>
      </c>
      <c r="AG76" s="6">
        <v>0.895097201425633</v>
      </c>
      <c r="AH76" s="6">
        <v>0.427447821377066</v>
      </c>
      <c r="AI76" s="6">
        <v>0.701395266593666</v>
      </c>
      <c r="AJ76" s="6">
        <v>93.79652149128</v>
      </c>
      <c r="AK76" s="6">
        <v>58.703472422</v>
      </c>
      <c r="AL76" s="6">
        <v>145.98377</v>
      </c>
      <c r="AM76" s="6">
        <v>99.5188</v>
      </c>
      <c r="AN76" s="6">
        <v>5.826851589355</v>
      </c>
      <c r="AO76" s="6">
        <v>6.811453638</v>
      </c>
      <c r="AP76" s="6">
        <v>0</v>
      </c>
      <c r="AQ76" s="6">
        <v>0</v>
      </c>
      <c r="AR76" s="6">
        <v>0.3203</v>
      </c>
      <c r="AS76" s="6">
        <v>0.0198</v>
      </c>
      <c r="AT76" s="6">
        <v>0</v>
      </c>
      <c r="AU76" s="6">
        <v>0.1203</v>
      </c>
      <c r="AV76" s="6">
        <v>0</v>
      </c>
      <c r="AW76" s="6">
        <v>0</v>
      </c>
      <c r="AX76" s="6">
        <v>0.401</v>
      </c>
      <c r="AY76" s="6">
        <v>0</v>
      </c>
      <c r="AZ76" s="6">
        <v>0</v>
      </c>
      <c r="BA76" s="6">
        <v>0.1386</v>
      </c>
      <c r="BB76" s="6">
        <v>0</v>
      </c>
      <c r="BC76" s="6">
        <v>0</v>
      </c>
      <c r="BD76" s="6">
        <v>0</v>
      </c>
      <c r="BE76" s="6">
        <v>0</v>
      </c>
      <c r="BF76" s="6">
        <v>0.2406</v>
      </c>
      <c r="BG76" s="6">
        <v>0</v>
      </c>
      <c r="BH76" s="6">
        <v>0</v>
      </c>
      <c r="BI76" s="6">
        <v>0</v>
      </c>
      <c r="BJ76" s="6">
        <v>0.7594</v>
      </c>
      <c r="BK76" s="6">
        <v>0</v>
      </c>
      <c r="BL76" s="6">
        <v>0</v>
      </c>
      <c r="BM76" s="6">
        <v>0</v>
      </c>
      <c r="BN76" s="6">
        <v>0</v>
      </c>
    </row>
    <row r="77" ht="34.2" customHeight="1" spans="1:66">
      <c r="A77" s="7">
        <v>136</v>
      </c>
      <c r="B77" s="7">
        <v>76</v>
      </c>
      <c r="C77" s="3" t="s">
        <v>142</v>
      </c>
      <c r="D77" s="6">
        <v>0.2</v>
      </c>
      <c r="E77" s="6">
        <v>5.179</v>
      </c>
      <c r="F77" s="6">
        <v>287</v>
      </c>
      <c r="G77" s="6">
        <f t="shared" si="2"/>
        <v>0.0180452961672474</v>
      </c>
      <c r="H77" s="6">
        <v>82.56</v>
      </c>
      <c r="I77" s="3" t="s">
        <v>67</v>
      </c>
      <c r="J77" s="3"/>
      <c r="K77" s="6">
        <v>1</v>
      </c>
      <c r="L77" s="6">
        <v>1</v>
      </c>
      <c r="M77" s="6">
        <v>1.3556</v>
      </c>
      <c r="N77" s="6">
        <v>0.6134</v>
      </c>
      <c r="O77" s="6">
        <v>2.20997717639387</v>
      </c>
      <c r="P77" s="6">
        <v>0.7422</v>
      </c>
      <c r="Q77" s="6">
        <v>0.967767679665069</v>
      </c>
      <c r="R77" s="6">
        <v>0.438142857142857</v>
      </c>
      <c r="S77" s="6">
        <v>0.02220464</v>
      </c>
      <c r="T77" s="6">
        <v>0.00022344</v>
      </c>
      <c r="U77" s="6">
        <v>0.109923439262665</v>
      </c>
      <c r="V77" s="6">
        <v>0.024368942864108</v>
      </c>
      <c r="W77" s="6">
        <v>11.1335904850206</v>
      </c>
      <c r="X77" s="6">
        <v>4.58193346169371</v>
      </c>
      <c r="Y77" s="6">
        <v>15.7155239467143</v>
      </c>
      <c r="Z77" s="6">
        <v>1.2314</v>
      </c>
      <c r="AA77" s="6">
        <v>1.5544</v>
      </c>
      <c r="AB77" s="6">
        <v>2.2086</v>
      </c>
      <c r="AC77" s="6">
        <v>1.8856</v>
      </c>
      <c r="AD77" s="6">
        <v>0.323</v>
      </c>
      <c r="AE77" s="6">
        <v>1.8</v>
      </c>
      <c r="AF77" s="6">
        <v>4.24</v>
      </c>
      <c r="AG77" s="6">
        <v>0.894427190999916</v>
      </c>
      <c r="AH77" s="6">
        <v>0.427083130081252</v>
      </c>
      <c r="AI77" s="6">
        <v>0.700856618717409</v>
      </c>
      <c r="AJ77" s="6">
        <v>93.829791712</v>
      </c>
      <c r="AK77" s="6">
        <v>58.6764488</v>
      </c>
      <c r="AL77" s="6">
        <v>146.028</v>
      </c>
      <c r="AM77" s="6">
        <v>99.52</v>
      </c>
      <c r="AN77" s="6">
        <v>5.827420104</v>
      </c>
      <c r="AO77" s="6">
        <v>6.8114952</v>
      </c>
      <c r="AP77" s="6">
        <v>0</v>
      </c>
      <c r="AQ77" s="6">
        <v>0</v>
      </c>
      <c r="AR77" s="6">
        <v>0.32</v>
      </c>
      <c r="AS77" s="6">
        <v>0.02</v>
      </c>
      <c r="AT77" s="6">
        <v>0</v>
      </c>
      <c r="AU77" s="6">
        <v>0.12</v>
      </c>
      <c r="AV77" s="6">
        <v>0</v>
      </c>
      <c r="AW77" s="6">
        <v>0</v>
      </c>
      <c r="AX77" s="6">
        <v>0.4</v>
      </c>
      <c r="AY77" s="6">
        <v>0</v>
      </c>
      <c r="AZ77" s="6">
        <v>0</v>
      </c>
      <c r="BA77" s="6">
        <v>0.14</v>
      </c>
      <c r="BB77" s="6">
        <v>0</v>
      </c>
      <c r="BC77" s="6">
        <v>0</v>
      </c>
      <c r="BD77" s="6">
        <v>0</v>
      </c>
      <c r="BE77" s="6">
        <v>0</v>
      </c>
      <c r="BF77" s="6">
        <v>0.24</v>
      </c>
      <c r="BG77" s="6">
        <v>0</v>
      </c>
      <c r="BH77" s="6">
        <v>0</v>
      </c>
      <c r="BI77" s="6">
        <v>0</v>
      </c>
      <c r="BJ77" s="6">
        <v>0.76</v>
      </c>
      <c r="BK77" s="6">
        <v>0</v>
      </c>
      <c r="BL77" s="6">
        <v>0</v>
      </c>
      <c r="BM77" s="6">
        <v>0</v>
      </c>
      <c r="BN77" s="6">
        <v>0</v>
      </c>
    </row>
    <row r="78" ht="34.2" customHeight="1" spans="1:66">
      <c r="A78" s="7">
        <v>137</v>
      </c>
      <c r="B78" s="7">
        <v>77</v>
      </c>
      <c r="C78" s="3" t="s">
        <v>143</v>
      </c>
      <c r="D78" s="6">
        <v>0.202</v>
      </c>
      <c r="E78" s="6">
        <v>4.943</v>
      </c>
      <c r="F78" s="6">
        <v>286</v>
      </c>
      <c r="G78" s="6">
        <f t="shared" si="2"/>
        <v>0.0172832167832168</v>
      </c>
      <c r="H78" s="6">
        <v>82.44</v>
      </c>
      <c r="I78" s="3" t="s">
        <v>67</v>
      </c>
      <c r="J78" s="3"/>
      <c r="K78" s="6">
        <v>1</v>
      </c>
      <c r="L78" s="6">
        <v>1</v>
      </c>
      <c r="M78" s="6">
        <v>1.355651</v>
      </c>
      <c r="N78" s="6">
        <v>0.613379</v>
      </c>
      <c r="O78" s="6">
        <v>2.21013598444029</v>
      </c>
      <c r="P78" s="6">
        <v>0.742272</v>
      </c>
      <c r="Q78" s="6">
        <v>0.967795685106227</v>
      </c>
      <c r="R78" s="6">
        <v>0.438127857142857</v>
      </c>
      <c r="S78" s="6">
        <v>0.022178876199</v>
      </c>
      <c r="T78" s="6">
        <v>0.000223057359</v>
      </c>
      <c r="U78" s="6">
        <v>0.109855516318085</v>
      </c>
      <c r="V78" s="6">
        <v>0.0243489016105168</v>
      </c>
      <c r="W78" s="6">
        <v>11.1471515567318</v>
      </c>
      <c r="X78" s="6">
        <v>4.57617490552922</v>
      </c>
      <c r="Y78" s="6">
        <v>15.723326462261</v>
      </c>
      <c r="Z78" s="6">
        <v>1.231184</v>
      </c>
      <c r="AA78" s="6">
        <v>1.554364</v>
      </c>
      <c r="AB78" s="6">
        <v>2.208816</v>
      </c>
      <c r="AC78" s="6">
        <v>1.885636</v>
      </c>
      <c r="AD78" s="6">
        <v>0.32318</v>
      </c>
      <c r="AE78" s="6">
        <v>1.801</v>
      </c>
      <c r="AF78" s="6">
        <v>4.2394</v>
      </c>
      <c r="AG78" s="6">
        <v>0.893755559423269</v>
      </c>
      <c r="AH78" s="6">
        <v>0.42671728345592</v>
      </c>
      <c r="AI78" s="6">
        <v>0.700316585552563</v>
      </c>
      <c r="AJ78" s="6">
        <v>93.86306193272</v>
      </c>
      <c r="AK78" s="6">
        <v>58.649425178</v>
      </c>
      <c r="AL78" s="6">
        <v>146.07223</v>
      </c>
      <c r="AM78" s="6">
        <v>99.5212</v>
      </c>
      <c r="AN78" s="6">
        <v>5.827988618645</v>
      </c>
      <c r="AO78" s="6">
        <v>6.811536762</v>
      </c>
      <c r="AP78" s="6">
        <v>0</v>
      </c>
      <c r="AQ78" s="6">
        <v>0</v>
      </c>
      <c r="AR78" s="6">
        <v>0.3197</v>
      </c>
      <c r="AS78" s="6">
        <v>0.0202</v>
      </c>
      <c r="AT78" s="6">
        <v>0</v>
      </c>
      <c r="AU78" s="6">
        <v>0.1197</v>
      </c>
      <c r="AV78" s="6">
        <v>0</v>
      </c>
      <c r="AW78" s="6">
        <v>0</v>
      </c>
      <c r="AX78" s="6">
        <v>0.399</v>
      </c>
      <c r="AY78" s="6">
        <v>0</v>
      </c>
      <c r="AZ78" s="6">
        <v>0</v>
      </c>
      <c r="BA78" s="6">
        <v>0.1414</v>
      </c>
      <c r="BB78" s="6">
        <v>0</v>
      </c>
      <c r="BC78" s="6">
        <v>0</v>
      </c>
      <c r="BD78" s="6">
        <v>0</v>
      </c>
      <c r="BE78" s="6">
        <v>0</v>
      </c>
      <c r="BF78" s="6">
        <v>0.2394</v>
      </c>
      <c r="BG78" s="6">
        <v>0</v>
      </c>
      <c r="BH78" s="6">
        <v>0</v>
      </c>
      <c r="BI78" s="6">
        <v>0</v>
      </c>
      <c r="BJ78" s="6">
        <v>0.7606</v>
      </c>
      <c r="BK78" s="6">
        <v>0</v>
      </c>
      <c r="BL78" s="6">
        <v>0</v>
      </c>
      <c r="BM78" s="6">
        <v>0</v>
      </c>
      <c r="BN78" s="6">
        <v>0</v>
      </c>
    </row>
    <row r="79" ht="34.2" customHeight="1" spans="1:66">
      <c r="A79" s="7">
        <v>138</v>
      </c>
      <c r="B79" s="7">
        <v>78</v>
      </c>
      <c r="C79" s="3" t="s">
        <v>144</v>
      </c>
      <c r="D79" s="6">
        <v>0.204</v>
      </c>
      <c r="E79" s="6">
        <v>5.151</v>
      </c>
      <c r="F79" s="6">
        <v>285</v>
      </c>
      <c r="G79" s="6">
        <f t="shared" si="2"/>
        <v>0.0180736842105263</v>
      </c>
      <c r="H79" s="6">
        <v>82.23</v>
      </c>
      <c r="I79" s="3" t="s">
        <v>67</v>
      </c>
      <c r="J79" s="3"/>
      <c r="K79" s="6">
        <v>1</v>
      </c>
      <c r="L79" s="6">
        <v>1</v>
      </c>
      <c r="M79" s="6">
        <v>1.355702</v>
      </c>
      <c r="N79" s="6">
        <v>0.613358</v>
      </c>
      <c r="O79" s="6">
        <v>2.21029480336117</v>
      </c>
      <c r="P79" s="6">
        <v>0.742344</v>
      </c>
      <c r="Q79" s="6">
        <v>0.967823691131598</v>
      </c>
      <c r="R79" s="6">
        <v>0.438112857142857</v>
      </c>
      <c r="S79" s="6">
        <v>0.022153107196</v>
      </c>
      <c r="T79" s="6">
        <v>0.000222673836</v>
      </c>
      <c r="U79" s="6">
        <v>0.109787548535315</v>
      </c>
      <c r="V79" s="6">
        <v>0.0243287928883995</v>
      </c>
      <c r="W79" s="6">
        <v>11.1605514816382</v>
      </c>
      <c r="X79" s="6">
        <v>4.57039991107711</v>
      </c>
      <c r="Y79" s="6">
        <v>15.7309513927153</v>
      </c>
      <c r="Z79" s="6">
        <v>1.230968</v>
      </c>
      <c r="AA79" s="6">
        <v>1.554328</v>
      </c>
      <c r="AB79" s="6">
        <v>2.209032</v>
      </c>
      <c r="AC79" s="6">
        <v>1.885672</v>
      </c>
      <c r="AD79" s="6">
        <v>0.32336</v>
      </c>
      <c r="AE79" s="6">
        <v>1.802</v>
      </c>
      <c r="AF79" s="6">
        <v>4.2388</v>
      </c>
      <c r="AG79" s="6">
        <v>0.893082303038191</v>
      </c>
      <c r="AH79" s="6">
        <v>0.426350278526941</v>
      </c>
      <c r="AI79" s="6">
        <v>0.699775163891946</v>
      </c>
      <c r="AJ79" s="6">
        <v>93.89633215344</v>
      </c>
      <c r="AK79" s="6">
        <v>58.622401556</v>
      </c>
      <c r="AL79" s="6">
        <v>146.11646</v>
      </c>
      <c r="AM79" s="6">
        <v>99.5224</v>
      </c>
      <c r="AN79" s="6">
        <v>5.82855713329</v>
      </c>
      <c r="AO79" s="6">
        <v>6.811578324</v>
      </c>
      <c r="AP79" s="6">
        <v>0</v>
      </c>
      <c r="AQ79" s="6">
        <v>0</v>
      </c>
      <c r="AR79" s="6">
        <v>0.3194</v>
      </c>
      <c r="AS79" s="6">
        <v>0.0204</v>
      </c>
      <c r="AT79" s="6">
        <v>0</v>
      </c>
      <c r="AU79" s="6">
        <v>0.1194</v>
      </c>
      <c r="AV79" s="6">
        <v>0</v>
      </c>
      <c r="AW79" s="6">
        <v>0</v>
      </c>
      <c r="AX79" s="6">
        <v>0.398</v>
      </c>
      <c r="AY79" s="6">
        <v>0</v>
      </c>
      <c r="AZ79" s="6">
        <v>0</v>
      </c>
      <c r="BA79" s="6">
        <v>0.1428</v>
      </c>
      <c r="BB79" s="6">
        <v>0</v>
      </c>
      <c r="BC79" s="6">
        <v>0</v>
      </c>
      <c r="BD79" s="6">
        <v>0</v>
      </c>
      <c r="BE79" s="6">
        <v>0</v>
      </c>
      <c r="BF79" s="6">
        <v>0.2388</v>
      </c>
      <c r="BG79" s="6">
        <v>0</v>
      </c>
      <c r="BH79" s="6">
        <v>0</v>
      </c>
      <c r="BI79" s="6">
        <v>0</v>
      </c>
      <c r="BJ79" s="6">
        <v>0.7612</v>
      </c>
      <c r="BK79" s="6">
        <v>0</v>
      </c>
      <c r="BL79" s="6">
        <v>0</v>
      </c>
      <c r="BM79" s="6">
        <v>0</v>
      </c>
      <c r="BN79" s="6">
        <v>0</v>
      </c>
    </row>
    <row r="80" ht="34.2" customHeight="1" spans="1:66">
      <c r="A80" s="7">
        <v>139</v>
      </c>
      <c r="B80" s="7">
        <v>79</v>
      </c>
      <c r="C80" s="3" t="s">
        <v>145</v>
      </c>
      <c r="D80" s="6">
        <v>0.206</v>
      </c>
      <c r="E80" s="6">
        <v>5.141</v>
      </c>
      <c r="F80" s="6">
        <v>285</v>
      </c>
      <c r="G80" s="6">
        <f t="shared" si="2"/>
        <v>0.0180385964912281</v>
      </c>
      <c r="H80" s="6">
        <v>82.01</v>
      </c>
      <c r="I80" s="3" t="s">
        <v>67</v>
      </c>
      <c r="J80" s="3"/>
      <c r="K80" s="6">
        <v>1</v>
      </c>
      <c r="L80" s="6">
        <v>1</v>
      </c>
      <c r="M80" s="6">
        <v>1.355753</v>
      </c>
      <c r="N80" s="6">
        <v>0.613337</v>
      </c>
      <c r="O80" s="6">
        <v>2.21045363315763</v>
      </c>
      <c r="P80" s="6">
        <v>0.742416</v>
      </c>
      <c r="Q80" s="6">
        <v>0.967851697741199</v>
      </c>
      <c r="R80" s="6">
        <v>0.438097857142857</v>
      </c>
      <c r="S80" s="6">
        <v>0.022127332991</v>
      </c>
      <c r="T80" s="6">
        <v>0.000222289431</v>
      </c>
      <c r="U80" s="6">
        <v>0.109719535832241</v>
      </c>
      <c r="V80" s="6">
        <v>0.0243086165199844</v>
      </c>
      <c r="W80" s="6">
        <v>11.1737914808554</v>
      </c>
      <c r="X80" s="6">
        <v>4.56460845002475</v>
      </c>
      <c r="Y80" s="6">
        <v>15.7383999308802</v>
      </c>
      <c r="Z80" s="6">
        <v>1.230752</v>
      </c>
      <c r="AA80" s="6">
        <v>1.554292</v>
      </c>
      <c r="AB80" s="6">
        <v>2.209248</v>
      </c>
      <c r="AC80" s="6">
        <v>1.885708</v>
      </c>
      <c r="AD80" s="6">
        <v>0.32354</v>
      </c>
      <c r="AE80" s="6">
        <v>1.803</v>
      </c>
      <c r="AF80" s="6">
        <v>4.2382</v>
      </c>
      <c r="AG80" s="6">
        <v>0.892407418167285</v>
      </c>
      <c r="AH80" s="6">
        <v>0.425982112300505</v>
      </c>
      <c r="AI80" s="6">
        <v>0.699232350510186</v>
      </c>
      <c r="AJ80" s="6">
        <v>93.92960237416</v>
      </c>
      <c r="AK80" s="6">
        <v>58.595377934</v>
      </c>
      <c r="AL80" s="6">
        <v>146.16069</v>
      </c>
      <c r="AM80" s="6">
        <v>99.5236</v>
      </c>
      <c r="AN80" s="6">
        <v>5.829125647935</v>
      </c>
      <c r="AO80" s="6">
        <v>6.811619886</v>
      </c>
      <c r="AP80" s="6">
        <v>0</v>
      </c>
      <c r="AQ80" s="6">
        <v>0</v>
      </c>
      <c r="AR80" s="6">
        <v>0.3191</v>
      </c>
      <c r="AS80" s="6">
        <v>0.0206</v>
      </c>
      <c r="AT80" s="6">
        <v>0</v>
      </c>
      <c r="AU80" s="6">
        <v>0.1191</v>
      </c>
      <c r="AV80" s="6">
        <v>0</v>
      </c>
      <c r="AW80" s="6">
        <v>0</v>
      </c>
      <c r="AX80" s="6">
        <v>0.397</v>
      </c>
      <c r="AY80" s="6">
        <v>0</v>
      </c>
      <c r="AZ80" s="6">
        <v>0</v>
      </c>
      <c r="BA80" s="6">
        <v>0.1442</v>
      </c>
      <c r="BB80" s="6">
        <v>0</v>
      </c>
      <c r="BC80" s="6">
        <v>0</v>
      </c>
      <c r="BD80" s="6">
        <v>0</v>
      </c>
      <c r="BE80" s="6">
        <v>0</v>
      </c>
      <c r="BF80" s="6">
        <v>0.2382</v>
      </c>
      <c r="BG80" s="6">
        <v>0</v>
      </c>
      <c r="BH80" s="6">
        <v>0</v>
      </c>
      <c r="BI80" s="6">
        <v>0</v>
      </c>
      <c r="BJ80" s="6">
        <v>0.7618</v>
      </c>
      <c r="BK80" s="6">
        <v>0</v>
      </c>
      <c r="BL80" s="6">
        <v>0</v>
      </c>
      <c r="BM80" s="6">
        <v>0</v>
      </c>
      <c r="BN80" s="6">
        <v>0</v>
      </c>
    </row>
    <row r="81" ht="34.2" customHeight="1" spans="1:66">
      <c r="A81" s="7">
        <v>140</v>
      </c>
      <c r="B81" s="7">
        <v>80</v>
      </c>
      <c r="C81" s="3" t="s">
        <v>146</v>
      </c>
      <c r="D81" s="6">
        <v>0.208</v>
      </c>
      <c r="E81" s="6">
        <v>5.129</v>
      </c>
      <c r="F81" s="6">
        <v>284</v>
      </c>
      <c r="G81" s="6">
        <f t="shared" si="2"/>
        <v>0.0180598591549296</v>
      </c>
      <c r="H81" s="6">
        <v>81.97</v>
      </c>
      <c r="I81" s="3" t="s">
        <v>67</v>
      </c>
      <c r="J81" s="3"/>
      <c r="K81" s="6">
        <v>1</v>
      </c>
      <c r="L81" s="6">
        <v>1</v>
      </c>
      <c r="M81" s="6">
        <v>1.355804</v>
      </c>
      <c r="N81" s="6">
        <v>0.613316</v>
      </c>
      <c r="O81" s="6">
        <v>2.21061247383078</v>
      </c>
      <c r="P81" s="6">
        <v>0.742488</v>
      </c>
      <c r="Q81" s="6">
        <v>0.967879704935049</v>
      </c>
      <c r="R81" s="6">
        <v>0.438082857142857</v>
      </c>
      <c r="S81" s="6">
        <v>0.022101553584</v>
      </c>
      <c r="T81" s="6">
        <v>0.000221904144</v>
      </c>
      <c r="U81" s="6">
        <v>0.109651478126489</v>
      </c>
      <c r="V81" s="6">
        <v>0.024288372326343</v>
      </c>
      <c r="W81" s="6">
        <v>11.1868727500754</v>
      </c>
      <c r="X81" s="6">
        <v>4.55880049389639</v>
      </c>
      <c r="Y81" s="6">
        <v>15.7456732439718</v>
      </c>
      <c r="Z81" s="6">
        <v>1.230536</v>
      </c>
      <c r="AA81" s="6">
        <v>1.554256</v>
      </c>
      <c r="AB81" s="6">
        <v>2.209464</v>
      </c>
      <c r="AC81" s="6">
        <v>1.885744</v>
      </c>
      <c r="AD81" s="6">
        <v>0.32372</v>
      </c>
      <c r="AE81" s="6">
        <v>1.804</v>
      </c>
      <c r="AF81" s="6">
        <v>4.2376</v>
      </c>
      <c r="AG81" s="6">
        <v>0.89173090111311</v>
      </c>
      <c r="AH81" s="6">
        <v>0.425612781762954</v>
      </c>
      <c r="AI81" s="6">
        <v>0.698688142163584</v>
      </c>
      <c r="AJ81" s="6">
        <v>93.96287259488</v>
      </c>
      <c r="AK81" s="6">
        <v>58.568354312</v>
      </c>
      <c r="AL81" s="6">
        <v>146.20492</v>
      </c>
      <c r="AM81" s="6">
        <v>99.5248</v>
      </c>
      <c r="AN81" s="6">
        <v>5.82969416258</v>
      </c>
      <c r="AO81" s="6">
        <v>6.811661448</v>
      </c>
      <c r="AP81" s="6">
        <v>0</v>
      </c>
      <c r="AQ81" s="6">
        <v>0</v>
      </c>
      <c r="AR81" s="6">
        <v>0.3188</v>
      </c>
      <c r="AS81" s="6">
        <v>0.0208</v>
      </c>
      <c r="AT81" s="6">
        <v>0</v>
      </c>
      <c r="AU81" s="6">
        <v>0.1188</v>
      </c>
      <c r="AV81" s="6">
        <v>0</v>
      </c>
      <c r="AW81" s="6">
        <v>0</v>
      </c>
      <c r="AX81" s="6">
        <v>0.396</v>
      </c>
      <c r="AY81" s="6">
        <v>0</v>
      </c>
      <c r="AZ81" s="6">
        <v>0</v>
      </c>
      <c r="BA81" s="6">
        <v>0.1456</v>
      </c>
      <c r="BB81" s="6">
        <v>0</v>
      </c>
      <c r="BC81" s="6">
        <v>0</v>
      </c>
      <c r="BD81" s="6">
        <v>0</v>
      </c>
      <c r="BE81" s="6">
        <v>0</v>
      </c>
      <c r="BF81" s="6">
        <v>0.2376</v>
      </c>
      <c r="BG81" s="6">
        <v>0</v>
      </c>
      <c r="BH81" s="6">
        <v>0</v>
      </c>
      <c r="BI81" s="6">
        <v>0</v>
      </c>
      <c r="BJ81" s="6">
        <v>0.7624</v>
      </c>
      <c r="BK81" s="6">
        <v>0</v>
      </c>
      <c r="BL81" s="6">
        <v>0</v>
      </c>
      <c r="BM81" s="6">
        <v>0</v>
      </c>
      <c r="BN81" s="6">
        <v>0</v>
      </c>
    </row>
    <row r="82" ht="34.2" customHeight="1" spans="1:66">
      <c r="A82" s="7">
        <v>141</v>
      </c>
      <c r="B82" s="7">
        <v>81</v>
      </c>
      <c r="C82" s="3" t="s">
        <v>147</v>
      </c>
      <c r="D82" s="6">
        <v>0.21</v>
      </c>
      <c r="E82" s="6">
        <v>5.112</v>
      </c>
      <c r="F82" s="6">
        <v>284</v>
      </c>
      <c r="G82" s="6">
        <f t="shared" si="2"/>
        <v>0.018</v>
      </c>
      <c r="H82" s="6">
        <v>82.59</v>
      </c>
      <c r="I82" s="3" t="s">
        <v>67</v>
      </c>
      <c r="J82" s="3"/>
      <c r="K82" s="6">
        <v>1</v>
      </c>
      <c r="L82" s="6">
        <v>1</v>
      </c>
      <c r="M82" s="6">
        <v>1.355855</v>
      </c>
      <c r="N82" s="6">
        <v>0.613295</v>
      </c>
      <c r="O82" s="6">
        <v>2.21077132538175</v>
      </c>
      <c r="P82" s="6">
        <v>0.74256</v>
      </c>
      <c r="Q82" s="6">
        <v>0.967907712713166</v>
      </c>
      <c r="R82" s="6">
        <v>0.438067857142857</v>
      </c>
      <c r="S82" s="6">
        <v>0.022075768975</v>
      </c>
      <c r="T82" s="6">
        <v>0.000221517975</v>
      </c>
      <c r="U82" s="6">
        <v>0.109583375335427</v>
      </c>
      <c r="V82" s="6">
        <v>0.0242680601273799</v>
      </c>
      <c r="W82" s="6">
        <v>11.1997964602876</v>
      </c>
      <c r="X82" s="6">
        <v>4.55297601405194</v>
      </c>
      <c r="Y82" s="6">
        <v>15.7527724743395</v>
      </c>
      <c r="Z82" s="6">
        <v>1.23032</v>
      </c>
      <c r="AA82" s="6">
        <v>1.55422</v>
      </c>
      <c r="AB82" s="6">
        <v>2.20968</v>
      </c>
      <c r="AC82" s="6">
        <v>1.88578</v>
      </c>
      <c r="AD82" s="6">
        <v>0.3239</v>
      </c>
      <c r="AE82" s="6">
        <v>1.805</v>
      </c>
      <c r="AF82" s="6">
        <v>4.237</v>
      </c>
      <c r="AG82" s="6">
        <v>0.891052748158043</v>
      </c>
      <c r="AH82" s="6">
        <v>0.425242283880613</v>
      </c>
      <c r="AI82" s="6">
        <v>0.698142535589975</v>
      </c>
      <c r="AJ82" s="6">
        <v>93.9961428156</v>
      </c>
      <c r="AK82" s="6">
        <v>58.54133069</v>
      </c>
      <c r="AL82" s="6">
        <v>146.24915</v>
      </c>
      <c r="AM82" s="6">
        <v>99.526</v>
      </c>
      <c r="AN82" s="6">
        <v>5.830262677225</v>
      </c>
      <c r="AO82" s="6">
        <v>6.81170301</v>
      </c>
      <c r="AP82" s="6">
        <v>0</v>
      </c>
      <c r="AQ82" s="6">
        <v>0</v>
      </c>
      <c r="AR82" s="6">
        <v>0.3185</v>
      </c>
      <c r="AS82" s="6">
        <v>0.021</v>
      </c>
      <c r="AT82" s="6">
        <v>0</v>
      </c>
      <c r="AU82" s="6">
        <v>0.1185</v>
      </c>
      <c r="AV82" s="6">
        <v>0</v>
      </c>
      <c r="AW82" s="6">
        <v>0</v>
      </c>
      <c r="AX82" s="6">
        <v>0.395</v>
      </c>
      <c r="AY82" s="6">
        <v>0</v>
      </c>
      <c r="AZ82" s="6">
        <v>0</v>
      </c>
      <c r="BA82" s="6">
        <v>0.147</v>
      </c>
      <c r="BB82" s="6">
        <v>0</v>
      </c>
      <c r="BC82" s="6">
        <v>0</v>
      </c>
      <c r="BD82" s="6">
        <v>0</v>
      </c>
      <c r="BE82" s="6">
        <v>0</v>
      </c>
      <c r="BF82" s="6">
        <v>0.237</v>
      </c>
      <c r="BG82" s="6">
        <v>0</v>
      </c>
      <c r="BH82" s="6">
        <v>0</v>
      </c>
      <c r="BI82" s="6">
        <v>0</v>
      </c>
      <c r="BJ82" s="6">
        <v>0.763</v>
      </c>
      <c r="BK82" s="6">
        <v>0</v>
      </c>
      <c r="BL82" s="6">
        <v>0</v>
      </c>
      <c r="BM82" s="6">
        <v>0</v>
      </c>
      <c r="BN82" s="6">
        <v>0</v>
      </c>
    </row>
    <row r="83" ht="34.2" customHeight="1" spans="1:66">
      <c r="A83" s="7">
        <v>142</v>
      </c>
      <c r="B83" s="7">
        <v>82</v>
      </c>
      <c r="C83" s="3" t="s">
        <v>148</v>
      </c>
      <c r="D83" s="6">
        <v>0.212</v>
      </c>
      <c r="E83" s="6">
        <v>5.247</v>
      </c>
      <c r="F83" s="6">
        <v>283</v>
      </c>
      <c r="G83" s="6">
        <f t="shared" si="2"/>
        <v>0.0185406360424028</v>
      </c>
      <c r="H83" s="6">
        <v>81.52</v>
      </c>
      <c r="I83" s="3" t="s">
        <v>67</v>
      </c>
      <c r="J83" s="3"/>
      <c r="K83" s="6">
        <v>1</v>
      </c>
      <c r="L83" s="6">
        <v>1</v>
      </c>
      <c r="M83" s="6">
        <v>1.355906</v>
      </c>
      <c r="N83" s="6">
        <v>0.613274</v>
      </c>
      <c r="O83" s="6">
        <v>2.21093018781165</v>
      </c>
      <c r="P83" s="6">
        <v>0.742632</v>
      </c>
      <c r="Q83" s="6">
        <v>0.967935721075568</v>
      </c>
      <c r="R83" s="6">
        <v>0.438052857142857</v>
      </c>
      <c r="S83" s="6">
        <v>0.022049979164</v>
      </c>
      <c r="T83" s="6">
        <v>0.000221130924</v>
      </c>
      <c r="U83" s="6">
        <v>0.109515227376158</v>
      </c>
      <c r="V83" s="6">
        <v>0.024247679741823</v>
      </c>
      <c r="W83" s="6">
        <v>11.2125637584717</v>
      </c>
      <c r="X83" s="6">
        <v>4.54713498168576</v>
      </c>
      <c r="Y83" s="6">
        <v>15.7596987401575</v>
      </c>
      <c r="Z83" s="6">
        <v>1.230104</v>
      </c>
      <c r="AA83" s="6">
        <v>1.554184</v>
      </c>
      <c r="AB83" s="6">
        <v>2.209896</v>
      </c>
      <c r="AC83" s="6">
        <v>1.885816</v>
      </c>
      <c r="AD83" s="6">
        <v>0.32408</v>
      </c>
      <c r="AE83" s="6">
        <v>1.806</v>
      </c>
      <c r="AF83" s="6">
        <v>4.2364</v>
      </c>
      <c r="AG83" s="6">
        <v>0.890372955564128</v>
      </c>
      <c r="AH83" s="6">
        <v>0.42487061559962</v>
      </c>
      <c r="AI83" s="6">
        <v>0.697595527508599</v>
      </c>
      <c r="AJ83" s="6">
        <v>94.02941303632</v>
      </c>
      <c r="AK83" s="6">
        <v>58.514307068</v>
      </c>
      <c r="AL83" s="6">
        <v>146.29338</v>
      </c>
      <c r="AM83" s="6">
        <v>99.5272</v>
      </c>
      <c r="AN83" s="6">
        <v>5.83083119187</v>
      </c>
      <c r="AO83" s="6">
        <v>6.811744572</v>
      </c>
      <c r="AP83" s="6">
        <v>0</v>
      </c>
      <c r="AQ83" s="6">
        <v>0</v>
      </c>
      <c r="AR83" s="6">
        <v>0.3182</v>
      </c>
      <c r="AS83" s="6">
        <v>0.0212</v>
      </c>
      <c r="AT83" s="6">
        <v>0</v>
      </c>
      <c r="AU83" s="6">
        <v>0.1182</v>
      </c>
      <c r="AV83" s="6">
        <v>0</v>
      </c>
      <c r="AW83" s="6">
        <v>0</v>
      </c>
      <c r="AX83" s="6">
        <v>0.394</v>
      </c>
      <c r="AY83" s="6">
        <v>0</v>
      </c>
      <c r="AZ83" s="6">
        <v>0</v>
      </c>
      <c r="BA83" s="6">
        <v>0.1484</v>
      </c>
      <c r="BB83" s="6">
        <v>0</v>
      </c>
      <c r="BC83" s="6">
        <v>0</v>
      </c>
      <c r="BD83" s="6">
        <v>0</v>
      </c>
      <c r="BE83" s="6">
        <v>0</v>
      </c>
      <c r="BF83" s="6">
        <v>0.2364</v>
      </c>
      <c r="BG83" s="6">
        <v>0</v>
      </c>
      <c r="BH83" s="6">
        <v>0</v>
      </c>
      <c r="BI83" s="6">
        <v>0</v>
      </c>
      <c r="BJ83" s="6">
        <v>0.7636</v>
      </c>
      <c r="BK83" s="6">
        <v>0</v>
      </c>
      <c r="BL83" s="6">
        <v>0</v>
      </c>
      <c r="BM83" s="6">
        <v>0</v>
      </c>
      <c r="BN83" s="6">
        <v>0</v>
      </c>
    </row>
    <row r="84" ht="34.2" customHeight="1" spans="1:66">
      <c r="A84" s="7">
        <v>143</v>
      </c>
      <c r="B84" s="7">
        <v>83</v>
      </c>
      <c r="C84" s="3" t="s">
        <v>149</v>
      </c>
      <c r="D84" s="6">
        <v>0.214</v>
      </c>
      <c r="E84" s="6">
        <v>5.053</v>
      </c>
      <c r="F84" s="6">
        <v>283</v>
      </c>
      <c r="G84" s="6">
        <f t="shared" si="2"/>
        <v>0.0178551236749117</v>
      </c>
      <c r="H84" s="6">
        <v>81.53</v>
      </c>
      <c r="I84" s="3" t="s">
        <v>67</v>
      </c>
      <c r="J84" s="3"/>
      <c r="K84" s="6">
        <v>1</v>
      </c>
      <c r="L84" s="6">
        <v>1</v>
      </c>
      <c r="M84" s="6">
        <v>1.355957</v>
      </c>
      <c r="N84" s="6">
        <v>0.613253</v>
      </c>
      <c r="O84" s="6">
        <v>2.21108906112159</v>
      </c>
      <c r="P84" s="6">
        <v>0.742704</v>
      </c>
      <c r="Q84" s="6">
        <v>0.967963730022274</v>
      </c>
      <c r="R84" s="6">
        <v>0.438037857142857</v>
      </c>
      <c r="S84" s="6">
        <v>0.022024184151</v>
      </c>
      <c r="T84" s="6">
        <v>0.000220742991</v>
      </c>
      <c r="U84" s="6">
        <v>0.109447034165526</v>
      </c>
      <c r="V84" s="6">
        <v>0.024227230987213</v>
      </c>
      <c r="W84" s="6">
        <v>11.225175768265</v>
      </c>
      <c r="X84" s="6">
        <v>4.5412773678255</v>
      </c>
      <c r="Y84" s="6">
        <v>15.7664531360905</v>
      </c>
      <c r="Z84" s="6">
        <v>1.229888</v>
      </c>
      <c r="AA84" s="6">
        <v>1.554148</v>
      </c>
      <c r="AB84" s="6">
        <v>2.210112</v>
      </c>
      <c r="AC84" s="6">
        <v>1.885852</v>
      </c>
      <c r="AD84" s="6">
        <v>0.32426</v>
      </c>
      <c r="AE84" s="6">
        <v>1.807</v>
      </c>
      <c r="AF84" s="6">
        <v>4.2358</v>
      </c>
      <c r="AG84" s="6">
        <v>0.889691519572936</v>
      </c>
      <c r="AH84" s="6">
        <v>0.424497773845753</v>
      </c>
      <c r="AI84" s="6">
        <v>0.697047114619952</v>
      </c>
      <c r="AJ84" s="6">
        <v>94.06268325704</v>
      </c>
      <c r="AK84" s="6">
        <v>58.487283446</v>
      </c>
      <c r="AL84" s="6">
        <v>146.33761</v>
      </c>
      <c r="AM84" s="6">
        <v>99.5284</v>
      </c>
      <c r="AN84" s="6">
        <v>5.831399706515</v>
      </c>
      <c r="AO84" s="6">
        <v>6.811786134</v>
      </c>
      <c r="AP84" s="6">
        <v>0</v>
      </c>
      <c r="AQ84" s="6">
        <v>0</v>
      </c>
      <c r="AR84" s="6">
        <v>0.3179</v>
      </c>
      <c r="AS84" s="6">
        <v>0.0214</v>
      </c>
      <c r="AT84" s="6">
        <v>0</v>
      </c>
      <c r="AU84" s="6">
        <v>0.1179</v>
      </c>
      <c r="AV84" s="6">
        <v>0</v>
      </c>
      <c r="AW84" s="6">
        <v>0</v>
      </c>
      <c r="AX84" s="6">
        <v>0.393</v>
      </c>
      <c r="AY84" s="6">
        <v>0</v>
      </c>
      <c r="AZ84" s="6">
        <v>0</v>
      </c>
      <c r="BA84" s="6">
        <v>0.1498</v>
      </c>
      <c r="BB84" s="6">
        <v>0</v>
      </c>
      <c r="BC84" s="6">
        <v>0</v>
      </c>
      <c r="BD84" s="6">
        <v>0</v>
      </c>
      <c r="BE84" s="6">
        <v>0</v>
      </c>
      <c r="BF84" s="6">
        <v>0.2358</v>
      </c>
      <c r="BG84" s="6">
        <v>0</v>
      </c>
      <c r="BH84" s="6">
        <v>0</v>
      </c>
      <c r="BI84" s="6">
        <v>0</v>
      </c>
      <c r="BJ84" s="6">
        <v>0.7642</v>
      </c>
      <c r="BK84" s="6">
        <v>0</v>
      </c>
      <c r="BL84" s="6">
        <v>0</v>
      </c>
      <c r="BM84" s="6">
        <v>0</v>
      </c>
      <c r="BN84" s="6">
        <v>0</v>
      </c>
    </row>
    <row r="85" ht="34.2" customHeight="1" spans="1:66">
      <c r="A85" s="7">
        <v>144</v>
      </c>
      <c r="B85" s="7">
        <v>84</v>
      </c>
      <c r="C85" s="3" t="s">
        <v>150</v>
      </c>
      <c r="D85" s="6">
        <v>0.216</v>
      </c>
      <c r="E85" s="6">
        <v>5.007</v>
      </c>
      <c r="F85" s="6">
        <v>282</v>
      </c>
      <c r="G85" s="6">
        <f t="shared" si="2"/>
        <v>0.0177553191489362</v>
      </c>
      <c r="H85" s="6">
        <v>81.12</v>
      </c>
      <c r="I85" s="3" t="s">
        <v>67</v>
      </c>
      <c r="J85" s="3"/>
      <c r="K85" s="6">
        <v>1</v>
      </c>
      <c r="L85" s="6">
        <v>1</v>
      </c>
      <c r="M85" s="6">
        <v>1.356008</v>
      </c>
      <c r="N85" s="6">
        <v>0.613232</v>
      </c>
      <c r="O85" s="6">
        <v>2.2112479453127</v>
      </c>
      <c r="P85" s="6">
        <v>0.742776</v>
      </c>
      <c r="Q85" s="6">
        <v>0.967991739553302</v>
      </c>
      <c r="R85" s="6">
        <v>0.438022857142857</v>
      </c>
      <c r="S85" s="6">
        <v>0.021998383936</v>
      </c>
      <c r="T85" s="6">
        <v>0.000220354176</v>
      </c>
      <c r="U85" s="6">
        <v>0.109378795620109</v>
      </c>
      <c r="V85" s="6">
        <v>0.0242067136798944</v>
      </c>
      <c r="W85" s="6">
        <v>11.2376335906039</v>
      </c>
      <c r="X85" s="6">
        <v>4.5354031433308</v>
      </c>
      <c r="Y85" s="6">
        <v>15.7730367339347</v>
      </c>
      <c r="Z85" s="6">
        <v>1.229672</v>
      </c>
      <c r="AA85" s="6">
        <v>1.554112</v>
      </c>
      <c r="AB85" s="6">
        <v>2.210328</v>
      </c>
      <c r="AC85" s="6">
        <v>1.885888</v>
      </c>
      <c r="AD85" s="6">
        <v>0.32444</v>
      </c>
      <c r="AE85" s="6">
        <v>1.808</v>
      </c>
      <c r="AF85" s="6">
        <v>4.2352</v>
      </c>
      <c r="AG85" s="6">
        <v>0.889008436405414</v>
      </c>
      <c r="AH85" s="6">
        <v>0.424123755524257</v>
      </c>
      <c r="AI85" s="6">
        <v>0.696497293605653</v>
      </c>
      <c r="AJ85" s="6">
        <v>94.09595347776</v>
      </c>
      <c r="AK85" s="6">
        <v>58.460259824</v>
      </c>
      <c r="AL85" s="6">
        <v>146.38184</v>
      </c>
      <c r="AM85" s="6">
        <v>99.5296</v>
      </c>
      <c r="AN85" s="6">
        <v>5.83196822116</v>
      </c>
      <c r="AO85" s="6">
        <v>6.811827696</v>
      </c>
      <c r="AP85" s="6">
        <v>0</v>
      </c>
      <c r="AQ85" s="6">
        <v>0</v>
      </c>
      <c r="AR85" s="6">
        <v>0.3176</v>
      </c>
      <c r="AS85" s="6">
        <v>0.0216</v>
      </c>
      <c r="AT85" s="6">
        <v>0</v>
      </c>
      <c r="AU85" s="6">
        <v>0.1176</v>
      </c>
      <c r="AV85" s="6">
        <v>0</v>
      </c>
      <c r="AW85" s="6">
        <v>0</v>
      </c>
      <c r="AX85" s="6">
        <v>0.392</v>
      </c>
      <c r="AY85" s="6">
        <v>0</v>
      </c>
      <c r="AZ85" s="6">
        <v>0</v>
      </c>
      <c r="BA85" s="6">
        <v>0.1512</v>
      </c>
      <c r="BB85" s="6">
        <v>0</v>
      </c>
      <c r="BC85" s="6">
        <v>0</v>
      </c>
      <c r="BD85" s="6">
        <v>0</v>
      </c>
      <c r="BE85" s="6">
        <v>0</v>
      </c>
      <c r="BF85" s="6">
        <v>0.2352</v>
      </c>
      <c r="BG85" s="6">
        <v>0</v>
      </c>
      <c r="BH85" s="6">
        <v>0</v>
      </c>
      <c r="BI85" s="6">
        <v>0</v>
      </c>
      <c r="BJ85" s="6">
        <v>0.7648</v>
      </c>
      <c r="BK85" s="6">
        <v>0</v>
      </c>
      <c r="BL85" s="6">
        <v>0</v>
      </c>
      <c r="BM85" s="6">
        <v>0</v>
      </c>
      <c r="BN85" s="6">
        <v>0</v>
      </c>
    </row>
    <row r="86" ht="34.2" customHeight="1" spans="1:66">
      <c r="A86" s="7">
        <v>145</v>
      </c>
      <c r="B86" s="7">
        <v>85</v>
      </c>
      <c r="C86" s="3" t="s">
        <v>151</v>
      </c>
      <c r="D86" s="6">
        <v>0.218</v>
      </c>
      <c r="E86" s="6">
        <v>4.951</v>
      </c>
      <c r="F86" s="6">
        <v>282</v>
      </c>
      <c r="G86" s="6">
        <f t="shared" si="2"/>
        <v>0.0175567375886525</v>
      </c>
      <c r="H86" s="6">
        <v>82.96</v>
      </c>
      <c r="I86" s="3" t="s">
        <v>67</v>
      </c>
      <c r="J86" s="3"/>
      <c r="K86" s="6">
        <v>1</v>
      </c>
      <c r="L86" s="6">
        <v>1</v>
      </c>
      <c r="M86" s="6">
        <v>1.356059</v>
      </c>
      <c r="N86" s="6">
        <v>0.613211</v>
      </c>
      <c r="O86" s="6">
        <v>2.2114068403861</v>
      </c>
      <c r="P86" s="6">
        <v>0.742848</v>
      </c>
      <c r="Q86" s="6">
        <v>0.968019749668671</v>
      </c>
      <c r="R86" s="6">
        <v>0.438007857142857</v>
      </c>
      <c r="S86" s="6">
        <v>0.021972578519</v>
      </c>
      <c r="T86" s="6">
        <v>0.000219964479</v>
      </c>
      <c r="U86" s="6">
        <v>0.10931051165622</v>
      </c>
      <c r="V86" s="6">
        <v>0.024186127635004</v>
      </c>
      <c r="W86" s="6">
        <v>11.2499383043419</v>
      </c>
      <c r="X86" s="6">
        <v>4.52951227889212</v>
      </c>
      <c r="Y86" s="6">
        <v>15.779450583234</v>
      </c>
      <c r="Z86" s="6">
        <v>1.229456</v>
      </c>
      <c r="AA86" s="6">
        <v>1.554076</v>
      </c>
      <c r="AB86" s="6">
        <v>2.210544</v>
      </c>
      <c r="AC86" s="6">
        <v>1.885924</v>
      </c>
      <c r="AD86" s="6">
        <v>0.32462</v>
      </c>
      <c r="AE86" s="6">
        <v>1.809</v>
      </c>
      <c r="AF86" s="6">
        <v>4.2346</v>
      </c>
      <c r="AG86" s="6">
        <v>0.888323702261738</v>
      </c>
      <c r="AH86" s="6">
        <v>0.423748557519669</v>
      </c>
      <c r="AI86" s="6">
        <v>0.695946061128303</v>
      </c>
      <c r="AJ86" s="6">
        <v>94.12922369848</v>
      </c>
      <c r="AK86" s="6">
        <v>58.433236202</v>
      </c>
      <c r="AL86" s="6">
        <v>146.42607</v>
      </c>
      <c r="AM86" s="6">
        <v>99.5308</v>
      </c>
      <c r="AN86" s="6">
        <v>5.832536735805</v>
      </c>
      <c r="AO86" s="6">
        <v>6.811869258</v>
      </c>
      <c r="AP86" s="6">
        <v>0</v>
      </c>
      <c r="AQ86" s="6">
        <v>0</v>
      </c>
      <c r="AR86" s="6">
        <v>0.3173</v>
      </c>
      <c r="AS86" s="6">
        <v>0.0218</v>
      </c>
      <c r="AT86" s="6">
        <v>0</v>
      </c>
      <c r="AU86" s="6">
        <v>0.1173</v>
      </c>
      <c r="AV86" s="6">
        <v>0</v>
      </c>
      <c r="AW86" s="6">
        <v>0</v>
      </c>
      <c r="AX86" s="6">
        <v>0.391</v>
      </c>
      <c r="AY86" s="6">
        <v>0</v>
      </c>
      <c r="AZ86" s="6">
        <v>0</v>
      </c>
      <c r="BA86" s="6">
        <v>0.1526</v>
      </c>
      <c r="BB86" s="6">
        <v>0</v>
      </c>
      <c r="BC86" s="6">
        <v>0</v>
      </c>
      <c r="BD86" s="6">
        <v>0</v>
      </c>
      <c r="BE86" s="6">
        <v>0</v>
      </c>
      <c r="BF86" s="6">
        <v>0.2346</v>
      </c>
      <c r="BG86" s="6">
        <v>0</v>
      </c>
      <c r="BH86" s="6">
        <v>0</v>
      </c>
      <c r="BI86" s="6">
        <v>0</v>
      </c>
      <c r="BJ86" s="6">
        <v>0.7654</v>
      </c>
      <c r="BK86" s="6">
        <v>0</v>
      </c>
      <c r="BL86" s="6">
        <v>0</v>
      </c>
      <c r="BM86" s="6">
        <v>0</v>
      </c>
      <c r="BN86" s="6">
        <v>0</v>
      </c>
    </row>
    <row r="87" ht="34.2" customHeight="1" spans="1:66">
      <c r="A87" s="7">
        <v>146</v>
      </c>
      <c r="B87" s="7">
        <v>86</v>
      </c>
      <c r="C87" s="3" t="s">
        <v>152</v>
      </c>
      <c r="D87" s="6">
        <v>0.22</v>
      </c>
      <c r="E87" s="6">
        <v>4.884</v>
      </c>
      <c r="F87" s="6">
        <v>281</v>
      </c>
      <c r="G87" s="6">
        <f t="shared" si="2"/>
        <v>0.0173807829181495</v>
      </c>
      <c r="H87" s="6">
        <v>81.62</v>
      </c>
      <c r="I87" s="3" t="s">
        <v>67</v>
      </c>
      <c r="J87" s="3"/>
      <c r="K87" s="6">
        <v>1</v>
      </c>
      <c r="L87" s="6">
        <v>1</v>
      </c>
      <c r="M87" s="6">
        <v>1.35611</v>
      </c>
      <c r="N87" s="6">
        <v>0.61319</v>
      </c>
      <c r="O87" s="6">
        <v>2.2115657463429</v>
      </c>
      <c r="P87" s="6">
        <v>0.74292</v>
      </c>
      <c r="Q87" s="6">
        <v>0.968047760368398</v>
      </c>
      <c r="R87" s="6">
        <v>0.437992857142857</v>
      </c>
      <c r="S87" s="6">
        <v>0.0219467679</v>
      </c>
      <c r="T87" s="6">
        <v>0.0002195739</v>
      </c>
      <c r="U87" s="6">
        <v>0.109242182189908</v>
      </c>
      <c r="V87" s="6">
        <v>0.024165472666461</v>
      </c>
      <c r="W87" s="6">
        <v>11.2620909668452</v>
      </c>
      <c r="X87" s="6">
        <v>4.52360474502945</v>
      </c>
      <c r="Y87" s="6">
        <v>15.7856957118746</v>
      </c>
      <c r="Z87" s="6">
        <v>1.22924</v>
      </c>
      <c r="AA87" s="6">
        <v>1.55404</v>
      </c>
      <c r="AB87" s="6">
        <v>2.21076</v>
      </c>
      <c r="AC87" s="6">
        <v>1.88596</v>
      </c>
      <c r="AD87" s="6">
        <v>0.3248</v>
      </c>
      <c r="AE87" s="6">
        <v>1.81</v>
      </c>
      <c r="AF87" s="6">
        <v>4.234</v>
      </c>
      <c r="AG87" s="6">
        <v>0.887637313321156</v>
      </c>
      <c r="AH87" s="6">
        <v>0.423372176695635</v>
      </c>
      <c r="AI87" s="6">
        <v>0.695393413831336</v>
      </c>
      <c r="AJ87" s="6">
        <v>94.1624939192</v>
      </c>
      <c r="AK87" s="6">
        <v>58.40621258</v>
      </c>
      <c r="AL87" s="6">
        <v>146.4703</v>
      </c>
      <c r="AM87" s="6">
        <v>99.532</v>
      </c>
      <c r="AN87" s="6">
        <v>5.83310525045</v>
      </c>
      <c r="AO87" s="6">
        <v>6.81191082</v>
      </c>
      <c r="AP87" s="6">
        <v>0</v>
      </c>
      <c r="AQ87" s="6">
        <v>0</v>
      </c>
      <c r="AR87" s="6">
        <v>0.317</v>
      </c>
      <c r="AS87" s="6">
        <v>0.022</v>
      </c>
      <c r="AT87" s="6">
        <v>0</v>
      </c>
      <c r="AU87" s="6">
        <v>0.117</v>
      </c>
      <c r="AV87" s="6">
        <v>0</v>
      </c>
      <c r="AW87" s="6">
        <v>0</v>
      </c>
      <c r="AX87" s="6">
        <v>0.39</v>
      </c>
      <c r="AY87" s="6">
        <v>0</v>
      </c>
      <c r="AZ87" s="6">
        <v>0</v>
      </c>
      <c r="BA87" s="6">
        <v>0.154</v>
      </c>
      <c r="BB87" s="6">
        <v>0</v>
      </c>
      <c r="BC87" s="6">
        <v>0</v>
      </c>
      <c r="BD87" s="6">
        <v>0</v>
      </c>
      <c r="BE87" s="6">
        <v>0</v>
      </c>
      <c r="BF87" s="6">
        <v>0.234</v>
      </c>
      <c r="BG87" s="6">
        <v>0</v>
      </c>
      <c r="BH87" s="6">
        <v>0</v>
      </c>
      <c r="BI87" s="6">
        <v>0</v>
      </c>
      <c r="BJ87" s="6">
        <v>0.766</v>
      </c>
      <c r="BK87" s="6">
        <v>0</v>
      </c>
      <c r="BL87" s="6">
        <v>0</v>
      </c>
      <c r="BM87" s="6">
        <v>0</v>
      </c>
      <c r="BN87" s="6">
        <v>0</v>
      </c>
    </row>
    <row r="88" ht="34.2" customHeight="1" spans="1:66">
      <c r="A88" s="7">
        <v>147</v>
      </c>
      <c r="B88" s="7">
        <v>87</v>
      </c>
      <c r="C88" s="3" t="s">
        <v>153</v>
      </c>
      <c r="D88" s="6">
        <v>0.222</v>
      </c>
      <c r="E88" s="6">
        <v>4.811</v>
      </c>
      <c r="F88" s="6">
        <v>281</v>
      </c>
      <c r="G88" s="6">
        <f t="shared" si="2"/>
        <v>0.0171209964412811</v>
      </c>
      <c r="H88" s="6">
        <v>81</v>
      </c>
      <c r="I88" s="3" t="s">
        <v>67</v>
      </c>
      <c r="J88" s="3"/>
      <c r="K88" s="6">
        <v>1</v>
      </c>
      <c r="L88" s="6">
        <v>1</v>
      </c>
      <c r="M88" s="6">
        <v>1.356161</v>
      </c>
      <c r="N88" s="6">
        <v>0.613169</v>
      </c>
      <c r="O88" s="6">
        <v>2.21172466318421</v>
      </c>
      <c r="P88" s="6">
        <v>0.742992</v>
      </c>
      <c r="Q88" s="6">
        <v>0.968075771652502</v>
      </c>
      <c r="R88" s="6">
        <v>0.437977857142857</v>
      </c>
      <c r="S88" s="6">
        <v>0.021920952079</v>
      </c>
      <c r="T88" s="6">
        <v>0.000219182439</v>
      </c>
      <c r="U88" s="6">
        <v>0.109173807136952</v>
      </c>
      <c r="V88" s="6">
        <v>0.0241447485869569</v>
      </c>
      <c r="W88" s="6">
        <v>11.2740926145654</v>
      </c>
      <c r="X88" s="6">
        <v>4.51768051209107</v>
      </c>
      <c r="Y88" s="6">
        <v>15.7917731266564</v>
      </c>
      <c r="Z88" s="6">
        <v>1.229024</v>
      </c>
      <c r="AA88" s="6">
        <v>1.554004</v>
      </c>
      <c r="AB88" s="6">
        <v>2.210976</v>
      </c>
      <c r="AC88" s="6">
        <v>1.885996</v>
      </c>
      <c r="AD88" s="6">
        <v>0.32498</v>
      </c>
      <c r="AE88" s="6">
        <v>1.811</v>
      </c>
      <c r="AF88" s="6">
        <v>4.2334</v>
      </c>
      <c r="AG88" s="6">
        <v>0.886949265741846</v>
      </c>
      <c r="AH88" s="6">
        <v>0.422994609894736</v>
      </c>
      <c r="AI88" s="6">
        <v>0.694839348338881</v>
      </c>
      <c r="AJ88" s="6">
        <v>94.19576413992</v>
      </c>
      <c r="AK88" s="6">
        <v>58.379188958</v>
      </c>
      <c r="AL88" s="6">
        <v>146.51453</v>
      </c>
      <c r="AM88" s="6">
        <v>99.5332</v>
      </c>
      <c r="AN88" s="6">
        <v>5.833673765095</v>
      </c>
      <c r="AO88" s="6">
        <v>6.811952382</v>
      </c>
      <c r="AP88" s="6">
        <v>0</v>
      </c>
      <c r="AQ88" s="6">
        <v>0</v>
      </c>
      <c r="AR88" s="6">
        <v>0.3167</v>
      </c>
      <c r="AS88" s="6">
        <v>0.0222</v>
      </c>
      <c r="AT88" s="6">
        <v>0</v>
      </c>
      <c r="AU88" s="6">
        <v>0.1167</v>
      </c>
      <c r="AV88" s="6">
        <v>0</v>
      </c>
      <c r="AW88" s="6">
        <v>0</v>
      </c>
      <c r="AX88" s="6">
        <v>0.389</v>
      </c>
      <c r="AY88" s="6">
        <v>0</v>
      </c>
      <c r="AZ88" s="6">
        <v>0</v>
      </c>
      <c r="BA88" s="6">
        <v>0.1554</v>
      </c>
      <c r="BB88" s="6">
        <v>0</v>
      </c>
      <c r="BC88" s="6">
        <v>0</v>
      </c>
      <c r="BD88" s="6">
        <v>0</v>
      </c>
      <c r="BE88" s="6">
        <v>0</v>
      </c>
      <c r="BF88" s="6">
        <v>0.2334</v>
      </c>
      <c r="BG88" s="6">
        <v>0</v>
      </c>
      <c r="BH88" s="6">
        <v>0</v>
      </c>
      <c r="BI88" s="6">
        <v>0</v>
      </c>
      <c r="BJ88" s="6">
        <v>0.7666</v>
      </c>
      <c r="BK88" s="6">
        <v>0</v>
      </c>
      <c r="BL88" s="6">
        <v>0</v>
      </c>
      <c r="BM88" s="6">
        <v>0</v>
      </c>
      <c r="BN88" s="6">
        <v>0</v>
      </c>
    </row>
    <row r="89" ht="34.2" customHeight="1" spans="1:66">
      <c r="A89" s="7">
        <v>148</v>
      </c>
      <c r="B89" s="7">
        <v>88</v>
      </c>
      <c r="C89" s="3" t="s">
        <v>154</v>
      </c>
      <c r="D89" s="6">
        <v>0.224</v>
      </c>
      <c r="E89" s="6">
        <v>4.552</v>
      </c>
      <c r="F89" s="6">
        <v>280</v>
      </c>
      <c r="G89" s="6">
        <f t="shared" si="2"/>
        <v>0.0162571428571429</v>
      </c>
      <c r="H89" s="6">
        <v>80.88</v>
      </c>
      <c r="I89" s="3" t="s">
        <v>67</v>
      </c>
      <c r="J89" s="3"/>
      <c r="K89" s="6">
        <v>1</v>
      </c>
      <c r="L89" s="6">
        <v>1</v>
      </c>
      <c r="M89" s="6">
        <v>1.356212</v>
      </c>
      <c r="N89" s="6">
        <v>0.613148</v>
      </c>
      <c r="O89" s="6">
        <v>2.21188359091117</v>
      </c>
      <c r="P89" s="6">
        <v>0.743064</v>
      </c>
      <c r="Q89" s="6">
        <v>0.968103783521001</v>
      </c>
      <c r="R89" s="6">
        <v>0.437962857142857</v>
      </c>
      <c r="S89" s="6">
        <v>0.021895131056</v>
      </c>
      <c r="T89" s="6">
        <v>0.000218790096</v>
      </c>
      <c r="U89" s="6">
        <v>0.109105386412864</v>
      </c>
      <c r="V89" s="6">
        <v>0.0241239552079442</v>
      </c>
      <c r="W89" s="6">
        <v>11.2859442635926</v>
      </c>
      <c r="X89" s="6">
        <v>4.51173955025227</v>
      </c>
      <c r="Y89" s="6">
        <v>15.7976838138449</v>
      </c>
      <c r="Z89" s="6">
        <v>1.228808</v>
      </c>
      <c r="AA89" s="6">
        <v>1.553968</v>
      </c>
      <c r="AB89" s="6">
        <v>2.211192</v>
      </c>
      <c r="AC89" s="6">
        <v>1.886032</v>
      </c>
      <c r="AD89" s="6">
        <v>0.32516</v>
      </c>
      <c r="AE89" s="6">
        <v>1.812</v>
      </c>
      <c r="AF89" s="6">
        <v>4.2328</v>
      </c>
      <c r="AG89" s="6">
        <v>0.886259555660756</v>
      </c>
      <c r="AH89" s="6">
        <v>0.422615853938302</v>
      </c>
      <c r="AI89" s="6">
        <v>0.694283861255611</v>
      </c>
      <c r="AJ89" s="6">
        <v>94.22903436064</v>
      </c>
      <c r="AK89" s="6">
        <v>58.352165336</v>
      </c>
      <c r="AL89" s="6">
        <v>146.55876</v>
      </c>
      <c r="AM89" s="6">
        <v>99.5344</v>
      </c>
      <c r="AN89" s="6">
        <v>5.83424227974</v>
      </c>
      <c r="AO89" s="6">
        <v>6.811993944</v>
      </c>
      <c r="AP89" s="6">
        <v>0</v>
      </c>
      <c r="AQ89" s="6">
        <v>0</v>
      </c>
      <c r="AR89" s="6">
        <v>0.3164</v>
      </c>
      <c r="AS89" s="6">
        <v>0.0224</v>
      </c>
      <c r="AT89" s="6">
        <v>0</v>
      </c>
      <c r="AU89" s="6">
        <v>0.1164</v>
      </c>
      <c r="AV89" s="6">
        <v>0</v>
      </c>
      <c r="AW89" s="6">
        <v>0</v>
      </c>
      <c r="AX89" s="6">
        <v>0.388</v>
      </c>
      <c r="AY89" s="6">
        <v>0</v>
      </c>
      <c r="AZ89" s="6">
        <v>0</v>
      </c>
      <c r="BA89" s="6">
        <v>0.1568</v>
      </c>
      <c r="BB89" s="6">
        <v>0</v>
      </c>
      <c r="BC89" s="6">
        <v>0</v>
      </c>
      <c r="BD89" s="6">
        <v>0</v>
      </c>
      <c r="BE89" s="6">
        <v>0</v>
      </c>
      <c r="BF89" s="6">
        <v>0.2328</v>
      </c>
      <c r="BG89" s="6">
        <v>0</v>
      </c>
      <c r="BH89" s="6">
        <v>0</v>
      </c>
      <c r="BI89" s="6">
        <v>0</v>
      </c>
      <c r="BJ89" s="6">
        <v>0.7672</v>
      </c>
      <c r="BK89" s="6">
        <v>0</v>
      </c>
      <c r="BL89" s="6">
        <v>0</v>
      </c>
      <c r="BM89" s="6">
        <v>0</v>
      </c>
      <c r="BN89" s="6">
        <v>0</v>
      </c>
    </row>
    <row r="90" ht="34.2" customHeight="1" spans="1:66">
      <c r="A90" s="7">
        <v>149</v>
      </c>
      <c r="B90" s="7">
        <v>89</v>
      </c>
      <c r="C90" s="3" t="s">
        <v>155</v>
      </c>
      <c r="D90" s="6">
        <v>0.226</v>
      </c>
      <c r="E90" s="6">
        <v>4.652</v>
      </c>
      <c r="F90" s="6">
        <v>280</v>
      </c>
      <c r="G90" s="6">
        <f t="shared" si="2"/>
        <v>0.0166142857142857</v>
      </c>
      <c r="H90" s="6">
        <v>80.74</v>
      </c>
      <c r="I90" s="3" t="s">
        <v>67</v>
      </c>
      <c r="J90" s="3"/>
      <c r="K90" s="6">
        <v>1</v>
      </c>
      <c r="L90" s="6">
        <v>1</v>
      </c>
      <c r="M90" s="6">
        <v>1.356263</v>
      </c>
      <c r="N90" s="6">
        <v>0.613127</v>
      </c>
      <c r="O90" s="6">
        <v>2.21204252952488</v>
      </c>
      <c r="P90" s="6">
        <v>0.743136</v>
      </c>
      <c r="Q90" s="6">
        <v>0.968131795973914</v>
      </c>
      <c r="R90" s="6">
        <v>0.437947857142857</v>
      </c>
      <c r="S90" s="6">
        <v>0.021869304831</v>
      </c>
      <c r="T90" s="6">
        <v>0.000218396871</v>
      </c>
      <c r="U90" s="6">
        <v>0.109036919932886</v>
      </c>
      <c r="V90" s="6">
        <v>0.0241030923396262</v>
      </c>
      <c r="W90" s="6">
        <v>11.2976469101881</v>
      </c>
      <c r="X90" s="6">
        <v>4.50578182951402</v>
      </c>
      <c r="Y90" s="6">
        <v>15.8034287397021</v>
      </c>
      <c r="Z90" s="6">
        <v>1.228592</v>
      </c>
      <c r="AA90" s="6">
        <v>1.553932</v>
      </c>
      <c r="AB90" s="6">
        <v>2.211408</v>
      </c>
      <c r="AC90" s="6">
        <v>1.886068</v>
      </c>
      <c r="AD90" s="6">
        <v>0.32534</v>
      </c>
      <c r="AE90" s="6">
        <v>1.813</v>
      </c>
      <c r="AF90" s="6">
        <v>4.2322</v>
      </c>
      <c r="AG90" s="6">
        <v>0.885568179193449</v>
      </c>
      <c r="AH90" s="6">
        <v>0.422235905626227</v>
      </c>
      <c r="AI90" s="6">
        <v>0.693726949166601</v>
      </c>
      <c r="AJ90" s="6">
        <v>94.26230458136</v>
      </c>
      <c r="AK90" s="6">
        <v>58.325141714</v>
      </c>
      <c r="AL90" s="6">
        <v>146.60299</v>
      </c>
      <c r="AM90" s="6">
        <v>99.5356</v>
      </c>
      <c r="AN90" s="6">
        <v>5.834810794385</v>
      </c>
      <c r="AO90" s="6">
        <v>6.812035506</v>
      </c>
      <c r="AP90" s="6">
        <v>0</v>
      </c>
      <c r="AQ90" s="6">
        <v>0</v>
      </c>
      <c r="AR90" s="6">
        <v>0.3161</v>
      </c>
      <c r="AS90" s="6">
        <v>0.0226</v>
      </c>
      <c r="AT90" s="6">
        <v>0</v>
      </c>
      <c r="AU90" s="6">
        <v>0.1161</v>
      </c>
      <c r="AV90" s="6">
        <v>0</v>
      </c>
      <c r="AW90" s="6">
        <v>0</v>
      </c>
      <c r="AX90" s="6">
        <v>0.387</v>
      </c>
      <c r="AY90" s="6">
        <v>0</v>
      </c>
      <c r="AZ90" s="6">
        <v>0</v>
      </c>
      <c r="BA90" s="6">
        <v>0.1582</v>
      </c>
      <c r="BB90" s="6">
        <v>0</v>
      </c>
      <c r="BC90" s="6">
        <v>0</v>
      </c>
      <c r="BD90" s="6">
        <v>0</v>
      </c>
      <c r="BE90" s="6">
        <v>0</v>
      </c>
      <c r="BF90" s="6">
        <v>0.2322</v>
      </c>
      <c r="BG90" s="6">
        <v>0</v>
      </c>
      <c r="BH90" s="6">
        <v>0</v>
      </c>
      <c r="BI90" s="6">
        <v>0</v>
      </c>
      <c r="BJ90" s="6">
        <v>0.7678</v>
      </c>
      <c r="BK90" s="6">
        <v>0</v>
      </c>
      <c r="BL90" s="6">
        <v>0</v>
      </c>
      <c r="BM90" s="6">
        <v>0</v>
      </c>
      <c r="BN90" s="6">
        <v>0</v>
      </c>
    </row>
    <row r="91" ht="34.2" customHeight="1" spans="1:66">
      <c r="A91" s="7">
        <v>150</v>
      </c>
      <c r="B91" s="7">
        <v>90</v>
      </c>
      <c r="C91" s="3" t="s">
        <v>156</v>
      </c>
      <c r="D91" s="6">
        <v>0.228</v>
      </c>
      <c r="E91" s="6">
        <v>4.575</v>
      </c>
      <c r="F91" s="6">
        <v>279</v>
      </c>
      <c r="G91" s="6">
        <f t="shared" si="2"/>
        <v>0.0163978494623656</v>
      </c>
      <c r="H91" s="6">
        <v>82.3</v>
      </c>
      <c r="I91" s="3" t="s">
        <v>67</v>
      </c>
      <c r="J91" s="3"/>
      <c r="K91" s="6">
        <v>1</v>
      </c>
      <c r="L91" s="6">
        <v>1</v>
      </c>
      <c r="M91" s="6">
        <v>1.356314</v>
      </c>
      <c r="N91" s="6">
        <v>0.613106</v>
      </c>
      <c r="O91" s="6">
        <v>2.21220147902647</v>
      </c>
      <c r="P91" s="6">
        <v>0.743208</v>
      </c>
      <c r="Q91" s="6">
        <v>0.968159809011258</v>
      </c>
      <c r="R91" s="6">
        <v>0.437932857142857</v>
      </c>
      <c r="S91" s="6">
        <v>0.021843473404</v>
      </c>
      <c r="T91" s="6">
        <v>0.000218002764</v>
      </c>
      <c r="U91" s="6">
        <v>0.108968407611989</v>
      </c>
      <c r="V91" s="6">
        <v>0.0240821597909456</v>
      </c>
      <c r="W91" s="6">
        <v>11.3092015312977</v>
      </c>
      <c r="X91" s="6">
        <v>4.49980731970176</v>
      </c>
      <c r="Y91" s="6">
        <v>15.8090088509995</v>
      </c>
      <c r="Z91" s="6">
        <v>1.228376</v>
      </c>
      <c r="AA91" s="6">
        <v>1.553896</v>
      </c>
      <c r="AB91" s="6">
        <v>2.211624</v>
      </c>
      <c r="AC91" s="6">
        <v>1.886104</v>
      </c>
      <c r="AD91" s="6">
        <v>0.32552</v>
      </c>
      <c r="AE91" s="6">
        <v>1.814</v>
      </c>
      <c r="AF91" s="6">
        <v>4.2316</v>
      </c>
      <c r="AG91" s="6">
        <v>0.88487513243395</v>
      </c>
      <c r="AH91" s="6">
        <v>0.421854761736785</v>
      </c>
      <c r="AI91" s="6">
        <v>0.693168608637177</v>
      </c>
      <c r="AJ91" s="6">
        <v>94.29557480208</v>
      </c>
      <c r="AK91" s="6">
        <v>58.298118092</v>
      </c>
      <c r="AL91" s="6">
        <v>146.64722</v>
      </c>
      <c r="AM91" s="6">
        <v>99.5368</v>
      </c>
      <c r="AN91" s="6">
        <v>5.83537930903</v>
      </c>
      <c r="AO91" s="6">
        <v>6.812077068</v>
      </c>
      <c r="AP91" s="6">
        <v>0</v>
      </c>
      <c r="AQ91" s="6">
        <v>0</v>
      </c>
      <c r="AR91" s="6">
        <v>0.3158</v>
      </c>
      <c r="AS91" s="6">
        <v>0.0228</v>
      </c>
      <c r="AT91" s="6">
        <v>0</v>
      </c>
      <c r="AU91" s="6">
        <v>0.1158</v>
      </c>
      <c r="AV91" s="6">
        <v>0</v>
      </c>
      <c r="AW91" s="6">
        <v>0</v>
      </c>
      <c r="AX91" s="6">
        <v>0.386</v>
      </c>
      <c r="AY91" s="6">
        <v>0</v>
      </c>
      <c r="AZ91" s="6">
        <v>0</v>
      </c>
      <c r="BA91" s="6">
        <v>0.1596</v>
      </c>
      <c r="BB91" s="6">
        <v>0</v>
      </c>
      <c r="BC91" s="6">
        <v>0</v>
      </c>
      <c r="BD91" s="6">
        <v>0</v>
      </c>
      <c r="BE91" s="6">
        <v>0</v>
      </c>
      <c r="BF91" s="6">
        <v>0.2316</v>
      </c>
      <c r="BG91" s="6">
        <v>0</v>
      </c>
      <c r="BH91" s="6">
        <v>0</v>
      </c>
      <c r="BI91" s="6">
        <v>0</v>
      </c>
      <c r="BJ91" s="6">
        <v>0.7684</v>
      </c>
      <c r="BK91" s="6">
        <v>0</v>
      </c>
      <c r="BL91" s="6">
        <v>0</v>
      </c>
      <c r="BM91" s="6">
        <v>0</v>
      </c>
      <c r="BN91" s="6">
        <v>0</v>
      </c>
    </row>
    <row r="92" ht="34.2" customHeight="1" spans="1:66">
      <c r="A92" s="7">
        <v>151</v>
      </c>
      <c r="B92" s="7">
        <v>91</v>
      </c>
      <c r="C92" s="3" t="s">
        <v>157</v>
      </c>
      <c r="D92" s="6">
        <v>0.23</v>
      </c>
      <c r="E92" s="6">
        <v>4.503</v>
      </c>
      <c r="F92" s="6">
        <v>279</v>
      </c>
      <c r="G92" s="6">
        <f t="shared" si="2"/>
        <v>0.0161397849462366</v>
      </c>
      <c r="H92" s="6">
        <v>81.9</v>
      </c>
      <c r="I92" s="3" t="s">
        <v>67</v>
      </c>
      <c r="J92" s="3"/>
      <c r="K92" s="6">
        <v>1</v>
      </c>
      <c r="L92" s="6">
        <v>1</v>
      </c>
      <c r="M92" s="6">
        <v>1.356365</v>
      </c>
      <c r="N92" s="6">
        <v>0.613085</v>
      </c>
      <c r="O92" s="6">
        <v>2.21236043941705</v>
      </c>
      <c r="P92" s="6">
        <v>0.74328</v>
      </c>
      <c r="Q92" s="6">
        <v>0.968187822633052</v>
      </c>
      <c r="R92" s="6">
        <v>0.437917857142857</v>
      </c>
      <c r="S92" s="6">
        <v>0.021817636775</v>
      </c>
      <c r="T92" s="6">
        <v>0.000217607775</v>
      </c>
      <c r="U92" s="6">
        <v>0.108899849364872</v>
      </c>
      <c r="V92" s="6">
        <v>0.0240611573695743</v>
      </c>
      <c r="W92" s="6">
        <v>11.3206090850479</v>
      </c>
      <c r="X92" s="6">
        <v>4.49381599046397</v>
      </c>
      <c r="Y92" s="6">
        <v>15.8144250755118</v>
      </c>
      <c r="Z92" s="6">
        <v>1.22816</v>
      </c>
      <c r="AA92" s="6">
        <v>1.55386</v>
      </c>
      <c r="AB92" s="6">
        <v>2.21184</v>
      </c>
      <c r="AC92" s="6">
        <v>1.88614</v>
      </c>
      <c r="AD92" s="6">
        <v>0.3257</v>
      </c>
      <c r="AE92" s="6">
        <v>1.815</v>
      </c>
      <c r="AF92" s="6">
        <v>4.231</v>
      </c>
      <c r="AG92" s="6">
        <v>0.884180411454585</v>
      </c>
      <c r="AH92" s="6">
        <v>0.421472419026441</v>
      </c>
      <c r="AI92" s="6">
        <v>0.692608836212764</v>
      </c>
      <c r="AJ92" s="6">
        <v>94.3288450228</v>
      </c>
      <c r="AK92" s="6">
        <v>58.27109447</v>
      </c>
      <c r="AL92" s="6">
        <v>146.69145</v>
      </c>
      <c r="AM92" s="6">
        <v>99.538</v>
      </c>
      <c r="AN92" s="6">
        <v>5.835947823675</v>
      </c>
      <c r="AO92" s="6">
        <v>6.81211863</v>
      </c>
      <c r="AP92" s="6">
        <v>0</v>
      </c>
      <c r="AQ92" s="6">
        <v>0</v>
      </c>
      <c r="AR92" s="6">
        <v>0.3155</v>
      </c>
      <c r="AS92" s="6">
        <v>0.023</v>
      </c>
      <c r="AT92" s="6">
        <v>0</v>
      </c>
      <c r="AU92" s="6">
        <v>0.1155</v>
      </c>
      <c r="AV92" s="6">
        <v>0</v>
      </c>
      <c r="AW92" s="6">
        <v>0</v>
      </c>
      <c r="AX92" s="6">
        <v>0.385</v>
      </c>
      <c r="AY92" s="6">
        <v>0</v>
      </c>
      <c r="AZ92" s="6">
        <v>0</v>
      </c>
      <c r="BA92" s="6">
        <v>0.161</v>
      </c>
      <c r="BB92" s="6">
        <v>0</v>
      </c>
      <c r="BC92" s="6">
        <v>0</v>
      </c>
      <c r="BD92" s="6">
        <v>0</v>
      </c>
      <c r="BE92" s="6">
        <v>0</v>
      </c>
      <c r="BF92" s="6">
        <v>0.231</v>
      </c>
      <c r="BG92" s="6">
        <v>0</v>
      </c>
      <c r="BH92" s="6">
        <v>0</v>
      </c>
      <c r="BI92" s="6">
        <v>0</v>
      </c>
      <c r="BJ92" s="6">
        <v>0.769</v>
      </c>
      <c r="BK92" s="6">
        <v>0</v>
      </c>
      <c r="BL92" s="6">
        <v>0</v>
      </c>
      <c r="BM92" s="6">
        <v>0</v>
      </c>
      <c r="BN92" s="6">
        <v>0</v>
      </c>
    </row>
    <row r="93" ht="34.2" customHeight="1" spans="1:66">
      <c r="A93" s="7">
        <v>152</v>
      </c>
      <c r="B93" s="7">
        <v>92</v>
      </c>
      <c r="C93" s="3" t="s">
        <v>158</v>
      </c>
      <c r="D93" s="6">
        <v>0.232</v>
      </c>
      <c r="E93" s="6">
        <v>4.441</v>
      </c>
      <c r="F93" s="6">
        <v>278</v>
      </c>
      <c r="G93" s="6">
        <f t="shared" si="2"/>
        <v>0.0159748201438849</v>
      </c>
      <c r="H93" s="6">
        <v>80.5</v>
      </c>
      <c r="I93" s="3" t="s">
        <v>67</v>
      </c>
      <c r="J93" s="3"/>
      <c r="K93" s="6">
        <v>1</v>
      </c>
      <c r="L93" s="6">
        <v>1</v>
      </c>
      <c r="M93" s="6">
        <v>1.356416</v>
      </c>
      <c r="N93" s="6">
        <v>0.613064</v>
      </c>
      <c r="O93" s="6">
        <v>2.21251941069774</v>
      </c>
      <c r="P93" s="6">
        <v>0.743352</v>
      </c>
      <c r="Q93" s="6">
        <v>0.968215836839315</v>
      </c>
      <c r="R93" s="6">
        <v>0.437902857142857</v>
      </c>
      <c r="S93" s="6">
        <v>0.021791794944</v>
      </c>
      <c r="T93" s="6">
        <v>0.000217211904</v>
      </c>
      <c r="U93" s="6">
        <v>0.10883124510596</v>
      </c>
      <c r="V93" s="6">
        <v>0.0240400848819014</v>
      </c>
      <c r="W93" s="6">
        <v>11.3318705112235</v>
      </c>
      <c r="X93" s="6">
        <v>4.48780781127093</v>
      </c>
      <c r="Y93" s="6">
        <v>15.8196783224944</v>
      </c>
      <c r="Z93" s="6">
        <v>1.227944</v>
      </c>
      <c r="AA93" s="6">
        <v>1.553824</v>
      </c>
      <c r="AB93" s="6">
        <v>2.212056</v>
      </c>
      <c r="AC93" s="6">
        <v>1.886176</v>
      </c>
      <c r="AD93" s="6">
        <v>0.32588</v>
      </c>
      <c r="AE93" s="6">
        <v>1.816</v>
      </c>
      <c r="AF93" s="6">
        <v>4.2304</v>
      </c>
      <c r="AG93" s="6">
        <v>0.883484012305826</v>
      </c>
      <c r="AH93" s="6">
        <v>0.421088874229657</v>
      </c>
      <c r="AI93" s="6">
        <v>0.692047628418738</v>
      </c>
      <c r="AJ93" s="6">
        <v>94.36211524352</v>
      </c>
      <c r="AK93" s="6">
        <v>58.244070848</v>
      </c>
      <c r="AL93" s="6">
        <v>146.73568</v>
      </c>
      <c r="AM93" s="6">
        <v>99.5392</v>
      </c>
      <c r="AN93" s="6">
        <v>5.83651633832</v>
      </c>
      <c r="AO93" s="6">
        <v>6.812160192</v>
      </c>
      <c r="AP93" s="6">
        <v>0</v>
      </c>
      <c r="AQ93" s="6">
        <v>0</v>
      </c>
      <c r="AR93" s="6">
        <v>0.3152</v>
      </c>
      <c r="AS93" s="6">
        <v>0.0232</v>
      </c>
      <c r="AT93" s="6">
        <v>0</v>
      </c>
      <c r="AU93" s="6">
        <v>0.1152</v>
      </c>
      <c r="AV93" s="6">
        <v>0</v>
      </c>
      <c r="AW93" s="6">
        <v>0</v>
      </c>
      <c r="AX93" s="6">
        <v>0.384</v>
      </c>
      <c r="AY93" s="6">
        <v>0</v>
      </c>
      <c r="AZ93" s="6">
        <v>0</v>
      </c>
      <c r="BA93" s="6">
        <v>0.1624</v>
      </c>
      <c r="BB93" s="6">
        <v>0</v>
      </c>
      <c r="BC93" s="6">
        <v>0</v>
      </c>
      <c r="BD93" s="6">
        <v>0</v>
      </c>
      <c r="BE93" s="6">
        <v>0</v>
      </c>
      <c r="BF93" s="6">
        <v>0.2304</v>
      </c>
      <c r="BG93" s="6">
        <v>0</v>
      </c>
      <c r="BH93" s="6">
        <v>0</v>
      </c>
      <c r="BI93" s="6">
        <v>0</v>
      </c>
      <c r="BJ93" s="6">
        <v>0.7696</v>
      </c>
      <c r="BK93" s="6">
        <v>0</v>
      </c>
      <c r="BL93" s="6">
        <v>0</v>
      </c>
      <c r="BM93" s="6">
        <v>0</v>
      </c>
      <c r="BN93" s="6">
        <v>0</v>
      </c>
    </row>
    <row r="94" ht="34.2" customHeight="1" spans="1:66">
      <c r="A94" s="7">
        <v>153</v>
      </c>
      <c r="B94" s="7">
        <v>93</v>
      </c>
      <c r="C94" s="3" t="s">
        <v>159</v>
      </c>
      <c r="D94" s="6">
        <v>0.234</v>
      </c>
      <c r="E94" s="6">
        <v>4.539</v>
      </c>
      <c r="F94" s="6">
        <v>277</v>
      </c>
      <c r="G94" s="6">
        <f t="shared" si="2"/>
        <v>0.0163862815884477</v>
      </c>
      <c r="H94" s="6">
        <v>80.5</v>
      </c>
      <c r="I94" s="3" t="s">
        <v>67</v>
      </c>
      <c r="J94" s="3"/>
      <c r="K94" s="6">
        <v>1</v>
      </c>
      <c r="L94" s="6">
        <v>1</v>
      </c>
      <c r="M94" s="6">
        <v>1.356467</v>
      </c>
      <c r="N94" s="6">
        <v>0.613043</v>
      </c>
      <c r="O94" s="6">
        <v>2.21267839286967</v>
      </c>
      <c r="P94" s="6">
        <v>0.743424</v>
      </c>
      <c r="Q94" s="6">
        <v>0.968243851630064</v>
      </c>
      <c r="R94" s="6">
        <v>0.437887857142857</v>
      </c>
      <c r="S94" s="6">
        <v>0.021765947911</v>
      </c>
      <c r="T94" s="6">
        <v>0.000216815151</v>
      </c>
      <c r="U94" s="6">
        <v>0.108762594749406</v>
      </c>
      <c r="V94" s="6">
        <v>0.0240189421330226</v>
      </c>
      <c r="W94" s="6">
        <v>11.3429867317296</v>
      </c>
      <c r="X94" s="6">
        <v>4.48178275141334</v>
      </c>
      <c r="Y94" s="6">
        <v>15.824769483143</v>
      </c>
      <c r="Z94" s="6">
        <v>1.227728</v>
      </c>
      <c r="AA94" s="6">
        <v>1.553788</v>
      </c>
      <c r="AB94" s="6">
        <v>2.212272</v>
      </c>
      <c r="AC94" s="6">
        <v>1.886212</v>
      </c>
      <c r="AD94" s="6">
        <v>0.32606</v>
      </c>
      <c r="AE94" s="6">
        <v>1.817</v>
      </c>
      <c r="AF94" s="6">
        <v>4.2298</v>
      </c>
      <c r="AG94" s="6">
        <v>0.882785931016121</v>
      </c>
      <c r="AH94" s="6">
        <v>0.420704124058702</v>
      </c>
      <c r="AI94" s="6">
        <v>0.691484981760269</v>
      </c>
      <c r="AJ94" s="6">
        <v>94.39538546424</v>
      </c>
      <c r="AK94" s="6">
        <v>58.217047226</v>
      </c>
      <c r="AL94" s="6">
        <v>146.77991</v>
      </c>
      <c r="AM94" s="6">
        <v>99.5404</v>
      </c>
      <c r="AN94" s="6">
        <v>5.837084852965</v>
      </c>
      <c r="AO94" s="6">
        <v>6.812201754</v>
      </c>
      <c r="AP94" s="6">
        <v>0</v>
      </c>
      <c r="AQ94" s="6">
        <v>0</v>
      </c>
      <c r="AR94" s="6">
        <v>0.3149</v>
      </c>
      <c r="AS94" s="6">
        <v>0.0234</v>
      </c>
      <c r="AT94" s="6">
        <v>0</v>
      </c>
      <c r="AU94" s="6">
        <v>0.1149</v>
      </c>
      <c r="AV94" s="6">
        <v>0</v>
      </c>
      <c r="AW94" s="6">
        <v>0</v>
      </c>
      <c r="AX94" s="6">
        <v>0.383</v>
      </c>
      <c r="AY94" s="6">
        <v>0</v>
      </c>
      <c r="AZ94" s="6">
        <v>0</v>
      </c>
      <c r="BA94" s="6">
        <v>0.1638</v>
      </c>
      <c r="BB94" s="6">
        <v>0</v>
      </c>
      <c r="BC94" s="6">
        <v>0</v>
      </c>
      <c r="BD94" s="6">
        <v>0</v>
      </c>
      <c r="BE94" s="6">
        <v>0</v>
      </c>
      <c r="BF94" s="6">
        <v>0.2298</v>
      </c>
      <c r="BG94" s="6">
        <v>0</v>
      </c>
      <c r="BH94" s="6">
        <v>0</v>
      </c>
      <c r="BI94" s="6">
        <v>0</v>
      </c>
      <c r="BJ94" s="6">
        <v>0.7702</v>
      </c>
      <c r="BK94" s="6">
        <v>0</v>
      </c>
      <c r="BL94" s="6">
        <v>0</v>
      </c>
      <c r="BM94" s="6">
        <v>0</v>
      </c>
      <c r="BN94" s="6">
        <v>0</v>
      </c>
    </row>
    <row r="95" ht="34.2" customHeight="1" spans="1:66">
      <c r="A95" s="7">
        <v>154</v>
      </c>
      <c r="B95" s="7">
        <v>94</v>
      </c>
      <c r="C95" s="3" t="s">
        <v>160</v>
      </c>
      <c r="D95" s="6">
        <v>0.236</v>
      </c>
      <c r="E95" s="6">
        <v>4.349</v>
      </c>
      <c r="F95" s="6">
        <v>277</v>
      </c>
      <c r="G95" s="6">
        <f t="shared" si="2"/>
        <v>0.0157003610108303</v>
      </c>
      <c r="H95" s="6">
        <v>79.9</v>
      </c>
      <c r="I95" s="3" t="s">
        <v>67</v>
      </c>
      <c r="J95" s="3"/>
      <c r="K95" s="6">
        <v>1</v>
      </c>
      <c r="L95" s="6">
        <v>1</v>
      </c>
      <c r="M95" s="6">
        <v>1.356518</v>
      </c>
      <c r="N95" s="6">
        <v>0.613022</v>
      </c>
      <c r="O95" s="6">
        <v>2.21283738593395</v>
      </c>
      <c r="P95" s="6">
        <v>0.743496</v>
      </c>
      <c r="Q95" s="6">
        <v>0.968271867005318</v>
      </c>
      <c r="R95" s="6">
        <v>0.437872857142857</v>
      </c>
      <c r="S95" s="6">
        <v>0.021740095676</v>
      </c>
      <c r="T95" s="6">
        <v>0.000216417516</v>
      </c>
      <c r="U95" s="6">
        <v>0.108693898209083</v>
      </c>
      <c r="V95" s="6">
        <v>0.0239977289267285</v>
      </c>
      <c r="W95" s="6">
        <v>11.3539586510374</v>
      </c>
      <c r="X95" s="6">
        <v>4.47574078000094</v>
      </c>
      <c r="Y95" s="6">
        <v>15.8296994310383</v>
      </c>
      <c r="Z95" s="6">
        <v>1.227512</v>
      </c>
      <c r="AA95" s="6">
        <v>1.553752</v>
      </c>
      <c r="AB95" s="6">
        <v>2.212488</v>
      </c>
      <c r="AC95" s="6">
        <v>1.886248</v>
      </c>
      <c r="AD95" s="6">
        <v>0.32624</v>
      </c>
      <c r="AE95" s="6">
        <v>1.818</v>
      </c>
      <c r="AF95" s="6">
        <v>4.2292</v>
      </c>
      <c r="AG95" s="6">
        <v>0.882086163591743</v>
      </c>
      <c r="AH95" s="6">
        <v>0.420318165203456</v>
      </c>
      <c r="AI95" s="6">
        <v>0.69092089272217</v>
      </c>
      <c r="AJ95" s="6">
        <v>94.42865568496</v>
      </c>
      <c r="AK95" s="6">
        <v>58.190023604</v>
      </c>
      <c r="AL95" s="6">
        <v>146.82414</v>
      </c>
      <c r="AM95" s="6">
        <v>99.5416</v>
      </c>
      <c r="AN95" s="6">
        <v>5.83765336761</v>
      </c>
      <c r="AO95" s="6">
        <v>6.812243316</v>
      </c>
      <c r="AP95" s="6">
        <v>0</v>
      </c>
      <c r="AQ95" s="6">
        <v>0</v>
      </c>
      <c r="AR95" s="6">
        <v>0.3146</v>
      </c>
      <c r="AS95" s="6">
        <v>0.0236</v>
      </c>
      <c r="AT95" s="6">
        <v>0</v>
      </c>
      <c r="AU95" s="6">
        <v>0.1146</v>
      </c>
      <c r="AV95" s="6">
        <v>0</v>
      </c>
      <c r="AW95" s="6">
        <v>0</v>
      </c>
      <c r="AX95" s="6">
        <v>0.382</v>
      </c>
      <c r="AY95" s="6">
        <v>0</v>
      </c>
      <c r="AZ95" s="6">
        <v>0</v>
      </c>
      <c r="BA95" s="6">
        <v>0.1652</v>
      </c>
      <c r="BB95" s="6">
        <v>0</v>
      </c>
      <c r="BC95" s="6">
        <v>0</v>
      </c>
      <c r="BD95" s="6">
        <v>0</v>
      </c>
      <c r="BE95" s="6">
        <v>0</v>
      </c>
      <c r="BF95" s="6">
        <v>0.2292</v>
      </c>
      <c r="BG95" s="6">
        <v>0</v>
      </c>
      <c r="BH95" s="6">
        <v>0</v>
      </c>
      <c r="BI95" s="6">
        <v>0</v>
      </c>
      <c r="BJ95" s="6">
        <v>0.7708</v>
      </c>
      <c r="BK95" s="6">
        <v>0</v>
      </c>
      <c r="BL95" s="6">
        <v>0</v>
      </c>
      <c r="BM95" s="6">
        <v>0</v>
      </c>
      <c r="BN95" s="6">
        <v>0</v>
      </c>
    </row>
    <row r="96" ht="34.2" customHeight="1" spans="1:66">
      <c r="A96" s="7">
        <v>155</v>
      </c>
      <c r="B96" s="7">
        <v>95</v>
      </c>
      <c r="C96" s="3" t="s">
        <v>161</v>
      </c>
      <c r="D96" s="6">
        <v>0.238</v>
      </c>
      <c r="E96" s="6">
        <v>4.32</v>
      </c>
      <c r="F96" s="6">
        <v>276</v>
      </c>
      <c r="G96" s="6">
        <f t="shared" si="2"/>
        <v>0.0156521739130435</v>
      </c>
      <c r="H96" s="6">
        <v>80.43</v>
      </c>
      <c r="I96" s="3" t="s">
        <v>67</v>
      </c>
      <c r="J96" s="3"/>
      <c r="K96" s="6">
        <v>1</v>
      </c>
      <c r="L96" s="6">
        <v>1</v>
      </c>
      <c r="M96" s="6">
        <v>1.356569</v>
      </c>
      <c r="N96" s="6">
        <v>0.613001</v>
      </c>
      <c r="O96" s="6">
        <v>2.2129963898917</v>
      </c>
      <c r="P96" s="6">
        <v>0.743568</v>
      </c>
      <c r="Q96" s="6">
        <v>0.968299882965095</v>
      </c>
      <c r="R96" s="6">
        <v>0.437857857142857</v>
      </c>
      <c r="S96" s="6">
        <v>0.021714238239</v>
      </c>
      <c r="T96" s="6">
        <v>0.000216018999</v>
      </c>
      <c r="U96" s="6">
        <v>0.10862515539859</v>
      </c>
      <c r="V96" s="6">
        <v>0.0239764450654932</v>
      </c>
      <c r="W96" s="6">
        <v>11.364787156614</v>
      </c>
      <c r="X96" s="6">
        <v>4.46968186596118</v>
      </c>
      <c r="Y96" s="6">
        <v>15.8344690225752</v>
      </c>
      <c r="Z96" s="6">
        <v>1.227296</v>
      </c>
      <c r="AA96" s="6">
        <v>1.553716</v>
      </c>
      <c r="AB96" s="6">
        <v>2.212704</v>
      </c>
      <c r="AC96" s="6">
        <v>1.886284</v>
      </c>
      <c r="AD96" s="6">
        <v>0.32642</v>
      </c>
      <c r="AE96" s="6">
        <v>1.819</v>
      </c>
      <c r="AF96" s="6">
        <v>4.2286</v>
      </c>
      <c r="AG96" s="6">
        <v>0.881384706016618</v>
      </c>
      <c r="AH96" s="6">
        <v>0.419930994331212</v>
      </c>
      <c r="AI96" s="6">
        <v>0.690355357768736</v>
      </c>
      <c r="AJ96" s="6">
        <v>94.46192590568</v>
      </c>
      <c r="AK96" s="6">
        <v>58.162999982</v>
      </c>
      <c r="AL96" s="6">
        <v>146.86837</v>
      </c>
      <c r="AM96" s="6">
        <v>99.5428</v>
      </c>
      <c r="AN96" s="6">
        <v>5.838221882255</v>
      </c>
      <c r="AO96" s="6">
        <v>6.812284878</v>
      </c>
      <c r="AP96" s="6">
        <v>0</v>
      </c>
      <c r="AQ96" s="6">
        <v>0</v>
      </c>
      <c r="AR96" s="6">
        <v>0.3143</v>
      </c>
      <c r="AS96" s="6">
        <v>0.0238</v>
      </c>
      <c r="AT96" s="6">
        <v>0</v>
      </c>
      <c r="AU96" s="6">
        <v>0.1143</v>
      </c>
      <c r="AV96" s="6">
        <v>0</v>
      </c>
      <c r="AW96" s="6">
        <v>0</v>
      </c>
      <c r="AX96" s="6">
        <v>0.381</v>
      </c>
      <c r="AY96" s="6">
        <v>0</v>
      </c>
      <c r="AZ96" s="6">
        <v>0</v>
      </c>
      <c r="BA96" s="6">
        <v>0.1666</v>
      </c>
      <c r="BB96" s="6">
        <v>0</v>
      </c>
      <c r="BC96" s="6">
        <v>0</v>
      </c>
      <c r="BD96" s="6">
        <v>0</v>
      </c>
      <c r="BE96" s="6">
        <v>0</v>
      </c>
      <c r="BF96" s="6">
        <v>0.2286</v>
      </c>
      <c r="BG96" s="6">
        <v>0</v>
      </c>
      <c r="BH96" s="6">
        <v>0</v>
      </c>
      <c r="BI96" s="6">
        <v>0</v>
      </c>
      <c r="BJ96" s="6">
        <v>0.7714</v>
      </c>
      <c r="BK96" s="6">
        <v>0</v>
      </c>
      <c r="BL96" s="6">
        <v>0</v>
      </c>
      <c r="BM96" s="6">
        <v>0</v>
      </c>
      <c r="BN96" s="6">
        <v>0</v>
      </c>
    </row>
    <row r="97" ht="34.2" customHeight="1" spans="1:66">
      <c r="A97" s="7">
        <v>156</v>
      </c>
      <c r="B97" s="7">
        <v>96</v>
      </c>
      <c r="C97" s="3" t="s">
        <v>162</v>
      </c>
      <c r="D97" s="6">
        <v>0.24</v>
      </c>
      <c r="E97" s="6">
        <v>4.303</v>
      </c>
      <c r="F97" s="6">
        <v>275</v>
      </c>
      <c r="G97" s="6">
        <f t="shared" si="2"/>
        <v>0.0156472727272727</v>
      </c>
      <c r="H97" s="6">
        <v>79.55</v>
      </c>
      <c r="I97" s="3" t="s">
        <v>67</v>
      </c>
      <c r="J97" s="3"/>
      <c r="K97" s="6">
        <v>1</v>
      </c>
      <c r="L97" s="6">
        <v>1</v>
      </c>
      <c r="M97" s="6">
        <v>1.35662</v>
      </c>
      <c r="N97" s="6">
        <v>0.61298</v>
      </c>
      <c r="O97" s="6">
        <v>2.21315540474404</v>
      </c>
      <c r="P97" s="6">
        <v>0.74364</v>
      </c>
      <c r="Q97" s="6">
        <v>0.968327899509414</v>
      </c>
      <c r="R97" s="6">
        <v>0.437842857142857</v>
      </c>
      <c r="S97" s="6">
        <v>0.0216883756</v>
      </c>
      <c r="T97" s="6">
        <v>0.0002156196</v>
      </c>
      <c r="U97" s="6">
        <v>0.108556366231247</v>
      </c>
      <c r="V97" s="6">
        <v>0.0239550903504627</v>
      </c>
      <c r="W97" s="6">
        <v>11.3754731193389</v>
      </c>
      <c r="X97" s="6">
        <v>4.46360597803781</v>
      </c>
      <c r="Y97" s="6">
        <v>15.8390790973767</v>
      </c>
      <c r="Z97" s="6">
        <v>1.22708</v>
      </c>
      <c r="AA97" s="6">
        <v>1.55368</v>
      </c>
      <c r="AB97" s="6">
        <v>2.21292</v>
      </c>
      <c r="AC97" s="6">
        <v>1.88632</v>
      </c>
      <c r="AD97" s="6">
        <v>0.3266</v>
      </c>
      <c r="AE97" s="6">
        <v>1.82</v>
      </c>
      <c r="AF97" s="6">
        <v>4.228</v>
      </c>
      <c r="AG97" s="6">
        <v>0.88068155425216</v>
      </c>
      <c r="AH97" s="6">
        <v>0.419542608086473</v>
      </c>
      <c r="AI97" s="6">
        <v>0.689788373343593</v>
      </c>
      <c r="AJ97" s="6">
        <v>94.4951961264</v>
      </c>
      <c r="AK97" s="6">
        <v>58.13597636</v>
      </c>
      <c r="AL97" s="6">
        <v>146.9126</v>
      </c>
      <c r="AM97" s="6">
        <v>99.544</v>
      </c>
      <c r="AN97" s="6">
        <v>5.8387903969</v>
      </c>
      <c r="AO97" s="6">
        <v>6.81232644</v>
      </c>
      <c r="AP97" s="6">
        <v>0</v>
      </c>
      <c r="AQ97" s="6">
        <v>0</v>
      </c>
      <c r="AR97" s="6">
        <v>0.314</v>
      </c>
      <c r="AS97" s="6">
        <v>0.024</v>
      </c>
      <c r="AT97" s="6">
        <v>0</v>
      </c>
      <c r="AU97" s="6">
        <v>0.114</v>
      </c>
      <c r="AV97" s="6">
        <v>0</v>
      </c>
      <c r="AW97" s="6">
        <v>0</v>
      </c>
      <c r="AX97" s="6">
        <v>0.38</v>
      </c>
      <c r="AY97" s="6">
        <v>0</v>
      </c>
      <c r="AZ97" s="6">
        <v>0</v>
      </c>
      <c r="BA97" s="6">
        <v>0.168</v>
      </c>
      <c r="BB97" s="6">
        <v>0</v>
      </c>
      <c r="BC97" s="6">
        <v>0</v>
      </c>
      <c r="BD97" s="6">
        <v>0</v>
      </c>
      <c r="BE97" s="6">
        <v>0</v>
      </c>
      <c r="BF97" s="6">
        <v>0.228</v>
      </c>
      <c r="BG97" s="6">
        <v>0</v>
      </c>
      <c r="BH97" s="6">
        <v>0</v>
      </c>
      <c r="BI97" s="6">
        <v>0</v>
      </c>
      <c r="BJ97" s="6">
        <v>0.772</v>
      </c>
      <c r="BK97" s="6">
        <v>0</v>
      </c>
      <c r="BL97" s="6">
        <v>0</v>
      </c>
      <c r="BM97" s="6">
        <v>0</v>
      </c>
      <c r="BN97" s="6">
        <v>0</v>
      </c>
    </row>
    <row r="98" ht="34.2" customHeight="1" spans="1:66">
      <c r="A98" s="7">
        <v>157</v>
      </c>
      <c r="B98" s="7">
        <v>97</v>
      </c>
      <c r="C98" s="3" t="s">
        <v>163</v>
      </c>
      <c r="D98" s="6">
        <v>0.242</v>
      </c>
      <c r="E98" s="6">
        <v>4.294</v>
      </c>
      <c r="F98" s="6">
        <v>274</v>
      </c>
      <c r="G98" s="6">
        <f t="shared" si="2"/>
        <v>0.0156715328467153</v>
      </c>
      <c r="H98" s="6">
        <v>79.63</v>
      </c>
      <c r="I98" s="3" t="s">
        <v>67</v>
      </c>
      <c r="J98" s="3"/>
      <c r="K98" s="6">
        <v>1</v>
      </c>
      <c r="L98" s="6">
        <v>1</v>
      </c>
      <c r="M98" s="6">
        <v>1.356671</v>
      </c>
      <c r="N98" s="6">
        <v>0.612959</v>
      </c>
      <c r="O98" s="6">
        <v>2.21331443049209</v>
      </c>
      <c r="P98" s="6">
        <v>0.743712</v>
      </c>
      <c r="Q98" s="6">
        <v>0.968355916638293</v>
      </c>
      <c r="R98" s="6">
        <v>0.437827857142857</v>
      </c>
      <c r="S98" s="6">
        <v>0.021662507759</v>
      </c>
      <c r="T98" s="6">
        <v>0.000215219319</v>
      </c>
      <c r="U98" s="6">
        <v>0.108487530620095</v>
      </c>
      <c r="V98" s="6">
        <v>0.0239336645814427</v>
      </c>
      <c r="W98" s="6">
        <v>11.3860173939054</v>
      </c>
      <c r="X98" s="6">
        <v>4.45751308478947</v>
      </c>
      <c r="Y98" s="6">
        <v>15.8435304786949</v>
      </c>
      <c r="Z98" s="6">
        <v>1.226864</v>
      </c>
      <c r="AA98" s="6">
        <v>1.553644</v>
      </c>
      <c r="AB98" s="6">
        <v>2.213136</v>
      </c>
      <c r="AC98" s="6">
        <v>1.886356</v>
      </c>
      <c r="AD98" s="6">
        <v>0.32678</v>
      </c>
      <c r="AE98" s="6">
        <v>1.821</v>
      </c>
      <c r="AF98" s="6">
        <v>4.2274</v>
      </c>
      <c r="AG98" s="6">
        <v>0.879976704237106</v>
      </c>
      <c r="AH98" s="6">
        <v>0.419153003090757</v>
      </c>
      <c r="AI98" s="6">
        <v>0.689219935869531</v>
      </c>
      <c r="AJ98" s="6">
        <v>94.52846634712</v>
      </c>
      <c r="AK98" s="6">
        <v>58.108952738</v>
      </c>
      <c r="AL98" s="6">
        <v>146.95683</v>
      </c>
      <c r="AM98" s="6">
        <v>99.5452</v>
      </c>
      <c r="AN98" s="6">
        <v>5.839358911545</v>
      </c>
      <c r="AO98" s="6">
        <v>6.812368002</v>
      </c>
      <c r="AP98" s="6">
        <v>0</v>
      </c>
      <c r="AQ98" s="6">
        <v>0</v>
      </c>
      <c r="AR98" s="6">
        <v>0.3137</v>
      </c>
      <c r="AS98" s="6">
        <v>0.0242</v>
      </c>
      <c r="AT98" s="6">
        <v>0</v>
      </c>
      <c r="AU98" s="6">
        <v>0.1137</v>
      </c>
      <c r="AV98" s="6">
        <v>0</v>
      </c>
      <c r="AW98" s="6">
        <v>0</v>
      </c>
      <c r="AX98" s="6">
        <v>0.379</v>
      </c>
      <c r="AY98" s="6">
        <v>0</v>
      </c>
      <c r="AZ98" s="6">
        <v>0</v>
      </c>
      <c r="BA98" s="6">
        <v>0.1694</v>
      </c>
      <c r="BB98" s="6">
        <v>0</v>
      </c>
      <c r="BC98" s="6">
        <v>0</v>
      </c>
      <c r="BD98" s="6">
        <v>0</v>
      </c>
      <c r="BE98" s="6">
        <v>0</v>
      </c>
      <c r="BF98" s="6">
        <v>0.2274</v>
      </c>
      <c r="BG98" s="6">
        <v>0</v>
      </c>
      <c r="BH98" s="6">
        <v>0</v>
      </c>
      <c r="BI98" s="6">
        <v>0</v>
      </c>
      <c r="BJ98" s="6">
        <v>0.7726</v>
      </c>
      <c r="BK98" s="6">
        <v>0</v>
      </c>
      <c r="BL98" s="6">
        <v>0</v>
      </c>
      <c r="BM98" s="6">
        <v>0</v>
      </c>
      <c r="BN98" s="6">
        <v>0</v>
      </c>
    </row>
    <row r="99" ht="34.2" customHeight="1" spans="1:66">
      <c r="A99" s="7">
        <v>158</v>
      </c>
      <c r="B99" s="7">
        <v>98</v>
      </c>
      <c r="C99" s="3" t="s">
        <v>164</v>
      </c>
      <c r="D99" s="6">
        <v>0.244</v>
      </c>
      <c r="E99" s="6">
        <v>4.291</v>
      </c>
      <c r="F99" s="6">
        <v>273</v>
      </c>
      <c r="G99" s="6">
        <f t="shared" ref="G99:G130" si="3">E99/F99</f>
        <v>0.0157179487179487</v>
      </c>
      <c r="H99" s="6">
        <v>79.12</v>
      </c>
      <c r="I99" s="3" t="s">
        <v>67</v>
      </c>
      <c r="J99" s="3"/>
      <c r="K99" s="6">
        <v>1</v>
      </c>
      <c r="L99" s="6">
        <v>1</v>
      </c>
      <c r="M99" s="6">
        <v>1.356722</v>
      </c>
      <c r="N99" s="6">
        <v>0.612938</v>
      </c>
      <c r="O99" s="6">
        <v>2.21347346713697</v>
      </c>
      <c r="P99" s="6">
        <v>0.743784</v>
      </c>
      <c r="Q99" s="6">
        <v>0.968383934351749</v>
      </c>
      <c r="R99" s="6">
        <v>0.437812857142857</v>
      </c>
      <c r="S99" s="6">
        <v>0.021636634716</v>
      </c>
      <c r="T99" s="6">
        <v>0.000214818156</v>
      </c>
      <c r="U99" s="6">
        <v>0.108418648477893</v>
      </c>
      <c r="V99" s="6">
        <v>0.0239121675568874</v>
      </c>
      <c r="W99" s="6">
        <v>11.3964208192093</v>
      </c>
      <c r="X99" s="6">
        <v>4.45140315458831</v>
      </c>
      <c r="Y99" s="6">
        <v>15.8478239737977</v>
      </c>
      <c r="Z99" s="6">
        <v>1.226648</v>
      </c>
      <c r="AA99" s="6">
        <v>1.553608</v>
      </c>
      <c r="AB99" s="6">
        <v>2.213352</v>
      </c>
      <c r="AC99" s="6">
        <v>1.886392</v>
      </c>
      <c r="AD99" s="6">
        <v>0.32696</v>
      </c>
      <c r="AE99" s="6">
        <v>1.822</v>
      </c>
      <c r="AF99" s="6">
        <v>4.2268</v>
      </c>
      <c r="AG99" s="6">
        <v>0.879270151887348</v>
      </c>
      <c r="AH99" s="6">
        <v>0.418762175942384</v>
      </c>
      <c r="AI99" s="6">
        <v>0.688650041748347</v>
      </c>
      <c r="AJ99" s="6">
        <v>94.56173656784</v>
      </c>
      <c r="AK99" s="6">
        <v>58.081929116</v>
      </c>
      <c r="AL99" s="6">
        <v>147.00106</v>
      </c>
      <c r="AM99" s="6">
        <v>99.5464</v>
      </c>
      <c r="AN99" s="6">
        <v>5.83992742619</v>
      </c>
      <c r="AO99" s="6">
        <v>6.812409564</v>
      </c>
      <c r="AP99" s="6">
        <v>0</v>
      </c>
      <c r="AQ99" s="6">
        <v>0</v>
      </c>
      <c r="AR99" s="6">
        <v>0.3134</v>
      </c>
      <c r="AS99" s="6">
        <v>0.0244</v>
      </c>
      <c r="AT99" s="6">
        <v>0</v>
      </c>
      <c r="AU99" s="6">
        <v>0.1134</v>
      </c>
      <c r="AV99" s="6">
        <v>0</v>
      </c>
      <c r="AW99" s="6">
        <v>0</v>
      </c>
      <c r="AX99" s="6">
        <v>0.378</v>
      </c>
      <c r="AY99" s="6">
        <v>0</v>
      </c>
      <c r="AZ99" s="6">
        <v>0</v>
      </c>
      <c r="BA99" s="6">
        <v>0.1708</v>
      </c>
      <c r="BB99" s="6">
        <v>0</v>
      </c>
      <c r="BC99" s="6">
        <v>0</v>
      </c>
      <c r="BD99" s="6">
        <v>0</v>
      </c>
      <c r="BE99" s="6">
        <v>0</v>
      </c>
      <c r="BF99" s="6">
        <v>0.2268</v>
      </c>
      <c r="BG99" s="6">
        <v>0</v>
      </c>
      <c r="BH99" s="6">
        <v>0</v>
      </c>
      <c r="BI99" s="6">
        <v>0</v>
      </c>
      <c r="BJ99" s="6">
        <v>0.7732</v>
      </c>
      <c r="BK99" s="6">
        <v>0</v>
      </c>
      <c r="BL99" s="6">
        <v>0</v>
      </c>
      <c r="BM99" s="6">
        <v>0</v>
      </c>
      <c r="BN99" s="6">
        <v>0</v>
      </c>
    </row>
    <row r="100" ht="34.2" customHeight="1" spans="1:66">
      <c r="A100" s="7">
        <v>159</v>
      </c>
      <c r="B100" s="7">
        <v>99</v>
      </c>
      <c r="C100" s="3" t="s">
        <v>165</v>
      </c>
      <c r="D100" s="6">
        <v>0.246</v>
      </c>
      <c r="E100" s="6">
        <v>4.09</v>
      </c>
      <c r="F100" s="6">
        <v>272</v>
      </c>
      <c r="G100" s="6">
        <f t="shared" si="3"/>
        <v>0.0150367647058824</v>
      </c>
      <c r="H100" s="6">
        <v>78.65</v>
      </c>
      <c r="I100" s="3" t="s">
        <v>67</v>
      </c>
      <c r="J100" s="3"/>
      <c r="K100" s="6">
        <v>1</v>
      </c>
      <c r="L100" s="6">
        <v>1</v>
      </c>
      <c r="M100" s="6">
        <v>1.356773</v>
      </c>
      <c r="N100" s="6">
        <v>0.612917</v>
      </c>
      <c r="O100" s="6">
        <v>2.2136325146798</v>
      </c>
      <c r="P100" s="6">
        <v>0.743856</v>
      </c>
      <c r="Q100" s="6">
        <v>0.968411952649802</v>
      </c>
      <c r="R100" s="6">
        <v>0.437797857142857</v>
      </c>
      <c r="S100" s="6">
        <v>0.021610756471</v>
      </c>
      <c r="T100" s="6">
        <v>0.000214416111</v>
      </c>
      <c r="U100" s="6">
        <v>0.10834971971712</v>
      </c>
      <c r="V100" s="6">
        <v>0.023890599073887</v>
      </c>
      <c r="W100" s="6">
        <v>11.4066842187244</v>
      </c>
      <c r="X100" s="6">
        <v>4.44527615561851</v>
      </c>
      <c r="Y100" s="6">
        <v>15.8519603743429</v>
      </c>
      <c r="Z100" s="6">
        <v>1.226432</v>
      </c>
      <c r="AA100" s="6">
        <v>1.553572</v>
      </c>
      <c r="AB100" s="6">
        <v>2.213568</v>
      </c>
      <c r="AC100" s="6">
        <v>1.886428</v>
      </c>
      <c r="AD100" s="6">
        <v>0.32714</v>
      </c>
      <c r="AE100" s="6">
        <v>1.823</v>
      </c>
      <c r="AF100" s="6">
        <v>4.2262</v>
      </c>
      <c r="AG100" s="6">
        <v>0.878561893095757</v>
      </c>
      <c r="AH100" s="6">
        <v>0.418370123216274</v>
      </c>
      <c r="AI100" s="6">
        <v>0.688078687360683</v>
      </c>
      <c r="AJ100" s="6">
        <v>94.59500678856</v>
      </c>
      <c r="AK100" s="6">
        <v>58.054905494</v>
      </c>
      <c r="AL100" s="6">
        <v>147.04529</v>
      </c>
      <c r="AM100" s="6">
        <v>99.5476</v>
      </c>
      <c r="AN100" s="6">
        <v>5.840495940835</v>
      </c>
      <c r="AO100" s="6">
        <v>6.812451126</v>
      </c>
      <c r="AP100" s="6">
        <v>0</v>
      </c>
      <c r="AQ100" s="6">
        <v>0</v>
      </c>
      <c r="AR100" s="6">
        <v>0.3131</v>
      </c>
      <c r="AS100" s="6">
        <v>0.0246</v>
      </c>
      <c r="AT100" s="6">
        <v>0</v>
      </c>
      <c r="AU100" s="6">
        <v>0.1131</v>
      </c>
      <c r="AV100" s="6">
        <v>0</v>
      </c>
      <c r="AW100" s="6">
        <v>0</v>
      </c>
      <c r="AX100" s="6">
        <v>0.377</v>
      </c>
      <c r="AY100" s="6">
        <v>0</v>
      </c>
      <c r="AZ100" s="6">
        <v>0</v>
      </c>
      <c r="BA100" s="6">
        <v>0.1722</v>
      </c>
      <c r="BB100" s="6">
        <v>0</v>
      </c>
      <c r="BC100" s="6">
        <v>0</v>
      </c>
      <c r="BD100" s="6">
        <v>0</v>
      </c>
      <c r="BE100" s="6">
        <v>0</v>
      </c>
      <c r="BF100" s="6">
        <v>0.2262</v>
      </c>
      <c r="BG100" s="6">
        <v>0</v>
      </c>
      <c r="BH100" s="6">
        <v>0</v>
      </c>
      <c r="BI100" s="6">
        <v>0</v>
      </c>
      <c r="BJ100" s="6">
        <v>0.7738</v>
      </c>
      <c r="BK100" s="6">
        <v>0</v>
      </c>
      <c r="BL100" s="6">
        <v>0</v>
      </c>
      <c r="BM100" s="6">
        <v>0</v>
      </c>
      <c r="BN100" s="6">
        <v>0</v>
      </c>
    </row>
    <row r="101" ht="34.2" customHeight="1" spans="1:66">
      <c r="A101" s="7">
        <v>160</v>
      </c>
      <c r="B101" s="7">
        <v>100</v>
      </c>
      <c r="C101" s="3" t="s">
        <v>166</v>
      </c>
      <c r="D101" s="6">
        <v>0.248</v>
      </c>
      <c r="E101" s="6">
        <v>4.288</v>
      </c>
      <c r="F101" s="6">
        <v>271</v>
      </c>
      <c r="G101" s="6">
        <f t="shared" si="3"/>
        <v>0.0158228782287823</v>
      </c>
      <c r="H101" s="6">
        <v>78.35</v>
      </c>
      <c r="I101" s="3" t="s">
        <v>67</v>
      </c>
      <c r="J101" s="3"/>
      <c r="K101" s="6">
        <v>1</v>
      </c>
      <c r="L101" s="6">
        <v>1</v>
      </c>
      <c r="M101" s="6">
        <v>1.356824</v>
      </c>
      <c r="N101" s="6">
        <v>0.612896</v>
      </c>
      <c r="O101" s="6">
        <v>2.2137915731217</v>
      </c>
      <c r="P101" s="6">
        <v>0.743928</v>
      </c>
      <c r="Q101" s="6">
        <v>0.96843997153247</v>
      </c>
      <c r="R101" s="6">
        <v>0.437782857142857</v>
      </c>
      <c r="S101" s="6">
        <v>0.021584873024</v>
      </c>
      <c r="T101" s="6">
        <v>0.000214013184</v>
      </c>
      <c r="U101" s="6">
        <v>0.108280744249968</v>
      </c>
      <c r="V101" s="6">
        <v>0.0238689589281554</v>
      </c>
      <c r="W101" s="6">
        <v>11.4168084008655</v>
      </c>
      <c r="X101" s="6">
        <v>4.43913205587486</v>
      </c>
      <c r="Y101" s="6">
        <v>15.8559404567403</v>
      </c>
      <c r="Z101" s="6">
        <v>1.226216</v>
      </c>
      <c r="AA101" s="6">
        <v>1.553536</v>
      </c>
      <c r="AB101" s="6">
        <v>2.213784</v>
      </c>
      <c r="AC101" s="6">
        <v>1.886464</v>
      </c>
      <c r="AD101" s="6">
        <v>0.32732</v>
      </c>
      <c r="AE101" s="6">
        <v>1.824</v>
      </c>
      <c r="AF101" s="6">
        <v>4.2256</v>
      </c>
      <c r="AG101" s="6">
        <v>0.877851923732015</v>
      </c>
      <c r="AH101" s="6">
        <v>0.417976841463735</v>
      </c>
      <c r="AI101" s="6">
        <v>0.687505869065858</v>
      </c>
      <c r="AJ101" s="6">
        <v>94.62827700928</v>
      </c>
      <c r="AK101" s="6">
        <v>58.027881872</v>
      </c>
      <c r="AL101" s="6">
        <v>147.08952</v>
      </c>
      <c r="AM101" s="6">
        <v>99.5488</v>
      </c>
      <c r="AN101" s="6">
        <v>5.84106445548</v>
      </c>
      <c r="AO101" s="6">
        <v>6.812492688</v>
      </c>
      <c r="AP101" s="6">
        <v>0</v>
      </c>
      <c r="AQ101" s="6">
        <v>0</v>
      </c>
      <c r="AR101" s="6">
        <v>0.3128</v>
      </c>
      <c r="AS101" s="6">
        <v>0.0248</v>
      </c>
      <c r="AT101" s="6">
        <v>0</v>
      </c>
      <c r="AU101" s="6">
        <v>0.1128</v>
      </c>
      <c r="AV101" s="6">
        <v>0</v>
      </c>
      <c r="AW101" s="6">
        <v>0</v>
      </c>
      <c r="AX101" s="6">
        <v>0.376</v>
      </c>
      <c r="AY101" s="6">
        <v>0</v>
      </c>
      <c r="AZ101" s="6">
        <v>0</v>
      </c>
      <c r="BA101" s="6">
        <v>0.1736</v>
      </c>
      <c r="BB101" s="6">
        <v>0</v>
      </c>
      <c r="BC101" s="6">
        <v>0</v>
      </c>
      <c r="BD101" s="6">
        <v>0</v>
      </c>
      <c r="BE101" s="6">
        <v>0</v>
      </c>
      <c r="BF101" s="6">
        <v>0.2256</v>
      </c>
      <c r="BG101" s="6">
        <v>0</v>
      </c>
      <c r="BH101" s="6">
        <v>0</v>
      </c>
      <c r="BI101" s="6">
        <v>0</v>
      </c>
      <c r="BJ101" s="6">
        <v>0.7744</v>
      </c>
      <c r="BK101" s="6">
        <v>0</v>
      </c>
      <c r="BL101" s="6">
        <v>0</v>
      </c>
      <c r="BM101" s="6">
        <v>0</v>
      </c>
      <c r="BN101" s="6">
        <v>0</v>
      </c>
    </row>
    <row r="102" ht="34.2" customHeight="1" spans="1:66">
      <c r="A102" s="7">
        <v>161</v>
      </c>
      <c r="B102" s="7">
        <v>101</v>
      </c>
      <c r="C102" s="3" t="s">
        <v>167</v>
      </c>
      <c r="D102" s="6">
        <v>0.25</v>
      </c>
      <c r="E102" s="6">
        <v>4.282</v>
      </c>
      <c r="F102" s="6">
        <v>270</v>
      </c>
      <c r="G102" s="6">
        <f t="shared" si="3"/>
        <v>0.0158592592592593</v>
      </c>
      <c r="H102" s="6">
        <v>78</v>
      </c>
      <c r="I102" s="3" t="s">
        <v>67</v>
      </c>
      <c r="J102" s="3"/>
      <c r="K102" s="6">
        <v>1</v>
      </c>
      <c r="L102" s="6">
        <v>1</v>
      </c>
      <c r="M102" s="6">
        <v>1.356875</v>
      </c>
      <c r="N102" s="6">
        <v>0.612875</v>
      </c>
      <c r="O102" s="6">
        <v>2.2139506424638</v>
      </c>
      <c r="P102" s="6">
        <v>0.744</v>
      </c>
      <c r="Q102" s="6">
        <v>0.96846799099977</v>
      </c>
      <c r="R102" s="6">
        <v>0.437767857142857</v>
      </c>
      <c r="S102" s="6">
        <v>0.021558984375</v>
      </c>
      <c r="T102" s="6">
        <v>0.000213609375</v>
      </c>
      <c r="U102" s="6">
        <v>0.108211721988349</v>
      </c>
      <c r="V102" s="6">
        <v>0.023847246914018</v>
      </c>
      <c r="W102" s="6">
        <v>11.4267941593398</v>
      </c>
      <c r="X102" s="6">
        <v>4.43297082316128</v>
      </c>
      <c r="Y102" s="6">
        <v>15.8597649825011</v>
      </c>
      <c r="Z102" s="6">
        <v>1.226</v>
      </c>
      <c r="AA102" s="6">
        <v>1.5535</v>
      </c>
      <c r="AB102" s="6">
        <v>2.214</v>
      </c>
      <c r="AC102" s="6">
        <v>1.8865</v>
      </c>
      <c r="AD102" s="6">
        <v>0.3275</v>
      </c>
      <c r="AE102" s="6">
        <v>1.825</v>
      </c>
      <c r="AF102" s="6">
        <v>4.225</v>
      </c>
      <c r="AG102" s="6">
        <v>0.877140239642442</v>
      </c>
      <c r="AH102" s="6">
        <v>0.417582327212252</v>
      </c>
      <c r="AI102" s="6">
        <v>0.686931583201704</v>
      </c>
      <c r="AJ102" s="6">
        <v>94.66154723</v>
      </c>
      <c r="AK102" s="6">
        <v>58.00085825</v>
      </c>
      <c r="AL102" s="6">
        <v>147.13375</v>
      </c>
      <c r="AM102" s="6">
        <v>99.55</v>
      </c>
      <c r="AN102" s="6">
        <v>5.841632970125</v>
      </c>
      <c r="AO102" s="6">
        <v>6.81253425</v>
      </c>
      <c r="AP102" s="6">
        <v>0</v>
      </c>
      <c r="AQ102" s="6">
        <v>0</v>
      </c>
      <c r="AR102" s="6">
        <v>0.3125</v>
      </c>
      <c r="AS102" s="6">
        <v>0.025</v>
      </c>
      <c r="AT102" s="6">
        <v>0</v>
      </c>
      <c r="AU102" s="6">
        <v>0.1125</v>
      </c>
      <c r="AV102" s="6">
        <v>0</v>
      </c>
      <c r="AW102" s="6">
        <v>0</v>
      </c>
      <c r="AX102" s="6">
        <v>0.375</v>
      </c>
      <c r="AY102" s="6">
        <v>0</v>
      </c>
      <c r="AZ102" s="6">
        <v>0</v>
      </c>
      <c r="BA102" s="6">
        <v>0.175</v>
      </c>
      <c r="BB102" s="6">
        <v>0</v>
      </c>
      <c r="BC102" s="6">
        <v>0</v>
      </c>
      <c r="BD102" s="6">
        <v>0</v>
      </c>
      <c r="BE102" s="6">
        <v>0</v>
      </c>
      <c r="BF102" s="6">
        <v>0.225</v>
      </c>
      <c r="BG102" s="6">
        <v>0</v>
      </c>
      <c r="BH102" s="6">
        <v>0</v>
      </c>
      <c r="BI102" s="6">
        <v>0</v>
      </c>
      <c r="BJ102" s="6">
        <v>0.775</v>
      </c>
      <c r="BK102" s="6">
        <v>0</v>
      </c>
      <c r="BL102" s="6">
        <v>0</v>
      </c>
      <c r="BM102" s="6">
        <v>0</v>
      </c>
      <c r="BN102" s="6">
        <v>0</v>
      </c>
    </row>
    <row r="103" ht="17.1" customHeight="1" spans="1:66">
      <c r="A103" s="7">
        <v>52</v>
      </c>
      <c r="B103" s="7">
        <v>148</v>
      </c>
      <c r="C103" s="3" t="s">
        <v>168</v>
      </c>
      <c r="D103" s="8">
        <v>0.26</v>
      </c>
      <c r="E103" s="6">
        <v>4.142</v>
      </c>
      <c r="F103" s="6">
        <v>600</v>
      </c>
      <c r="G103" s="6">
        <f t="shared" si="3"/>
        <v>0.00690333333333333</v>
      </c>
      <c r="H103" s="6">
        <v>92</v>
      </c>
      <c r="I103" s="3" t="s">
        <v>67</v>
      </c>
      <c r="J103" s="3"/>
      <c r="K103" s="6">
        <v>1</v>
      </c>
      <c r="L103" s="6">
        <v>1</v>
      </c>
      <c r="M103" s="6">
        <v>1.46325</v>
      </c>
      <c r="N103" s="6">
        <v>0.65</v>
      </c>
      <c r="O103" s="6">
        <v>2.25115384615385</v>
      </c>
      <c r="P103" s="6">
        <v>0.81325</v>
      </c>
      <c r="Q103" s="6">
        <v>0.987621215235308</v>
      </c>
      <c r="R103" s="6">
        <v>0.464285714285714</v>
      </c>
      <c r="S103" s="6">
        <v>0.0284569375</v>
      </c>
      <c r="T103" s="6">
        <v>0.0009</v>
      </c>
      <c r="U103" s="6">
        <v>0.115285728228264</v>
      </c>
      <c r="V103" s="6">
        <v>0.0461538461538462</v>
      </c>
      <c r="W103" s="6">
        <v>8.41327328231395</v>
      </c>
      <c r="X103" s="6">
        <v>4.30843989764838</v>
      </c>
      <c r="Y103" s="6">
        <v>12.7217131799623</v>
      </c>
      <c r="Z103" s="6">
        <v>1.02875</v>
      </c>
      <c r="AA103" s="6">
        <v>1.6</v>
      </c>
      <c r="AB103" s="6">
        <v>2.41125</v>
      </c>
      <c r="AC103" s="6">
        <v>1.84</v>
      </c>
      <c r="AD103" s="6">
        <v>0.57125</v>
      </c>
      <c r="AE103" s="6">
        <v>1.3</v>
      </c>
      <c r="AF103" s="6">
        <v>4.7</v>
      </c>
      <c r="AG103" s="6">
        <v>0.714142842854285</v>
      </c>
      <c r="AH103" s="6">
        <v>0.9</v>
      </c>
      <c r="AI103" s="6">
        <v>0.812403840463596</v>
      </c>
      <c r="AJ103" s="6">
        <v>57.734489444</v>
      </c>
      <c r="AK103" s="6">
        <v>94.5558085</v>
      </c>
      <c r="AL103" s="6">
        <v>199.47</v>
      </c>
      <c r="AM103" s="6">
        <v>90.867</v>
      </c>
      <c r="AN103" s="6">
        <v>5.12171719325</v>
      </c>
      <c r="AO103" s="6">
        <v>7.06192075</v>
      </c>
      <c r="AP103" s="6">
        <v>0</v>
      </c>
      <c r="AQ103" s="6">
        <v>0</v>
      </c>
      <c r="AR103" s="6">
        <v>0.15</v>
      </c>
      <c r="AS103" s="6">
        <v>0</v>
      </c>
      <c r="AT103" s="6">
        <v>0</v>
      </c>
      <c r="AU103" s="6">
        <v>0.425</v>
      </c>
      <c r="AV103" s="6">
        <v>0</v>
      </c>
      <c r="AW103" s="6">
        <v>0</v>
      </c>
      <c r="AX103" s="6">
        <v>0.425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0.85</v>
      </c>
      <c r="BG103" s="6">
        <v>0</v>
      </c>
      <c r="BH103" s="6">
        <v>0</v>
      </c>
      <c r="BI103" s="6">
        <v>0.05</v>
      </c>
      <c r="BJ103" s="6">
        <v>0</v>
      </c>
      <c r="BK103" s="6">
        <v>0</v>
      </c>
      <c r="BL103" s="6">
        <v>0</v>
      </c>
      <c r="BM103" s="6">
        <v>0.1</v>
      </c>
      <c r="BN103" s="6">
        <v>0</v>
      </c>
    </row>
    <row r="104" ht="17.1" customHeight="1" spans="1:66">
      <c r="A104" s="7">
        <v>51</v>
      </c>
      <c r="B104" s="7">
        <v>147</v>
      </c>
      <c r="C104" s="3" t="s">
        <v>169</v>
      </c>
      <c r="D104" s="8">
        <v>0.265</v>
      </c>
      <c r="E104" s="6">
        <v>4.023</v>
      </c>
      <c r="F104" s="6">
        <v>517</v>
      </c>
      <c r="G104" s="6">
        <f t="shared" si="3"/>
        <v>0.00778143133462282</v>
      </c>
      <c r="H104" s="6">
        <v>87</v>
      </c>
      <c r="I104" s="3" t="s">
        <v>170</v>
      </c>
      <c r="J104" s="3" t="s">
        <v>171</v>
      </c>
      <c r="K104" s="6">
        <v>0.95725</v>
      </c>
      <c r="L104" s="6">
        <v>1</v>
      </c>
      <c r="M104" s="6">
        <v>1.33246800731261</v>
      </c>
      <c r="N104" s="6">
        <v>0.60675</v>
      </c>
      <c r="O104" s="6">
        <v>2.19607417768869</v>
      </c>
      <c r="P104" s="6">
        <v>0.725718007312614</v>
      </c>
      <c r="Q104" s="6">
        <v>0.962823798353578</v>
      </c>
      <c r="R104" s="6">
        <v>0.433392857142857</v>
      </c>
      <c r="S104" s="6">
        <v>0.0166360870542951</v>
      </c>
      <c r="T104" s="6">
        <v>5.81875000000001e-5</v>
      </c>
      <c r="U104" s="6">
        <v>0.0967985388476487</v>
      </c>
      <c r="V104" s="6">
        <v>0.0125720200266934</v>
      </c>
      <c r="W104" s="6">
        <v>9.87368920644122</v>
      </c>
      <c r="X104" s="6">
        <v>1.65054756993285</v>
      </c>
      <c r="Y104" s="6">
        <v>11.5242367763741</v>
      </c>
      <c r="Z104" s="6">
        <v>1.28474797597284</v>
      </c>
      <c r="AA104" s="6">
        <v>1.543</v>
      </c>
      <c r="AB104" s="6">
        <v>2.15525202402716</v>
      </c>
      <c r="AC104" s="6">
        <v>1.897</v>
      </c>
      <c r="AD104" s="6">
        <v>0.258252024027161</v>
      </c>
      <c r="AE104" s="6">
        <v>2.03708540088796</v>
      </c>
      <c r="AF104" s="6">
        <v>4.05</v>
      </c>
      <c r="AG104" s="6">
        <v>0.828257456014235</v>
      </c>
      <c r="AH104" s="6">
        <v>0.217944947177034</v>
      </c>
      <c r="AI104" s="6">
        <v>0.60560317595071</v>
      </c>
      <c r="AJ104" s="6">
        <v>110.987221369966</v>
      </c>
      <c r="AK104" s="6">
        <v>50.1189685</v>
      </c>
      <c r="AL104" s="6">
        <v>135.253564899452</v>
      </c>
      <c r="AM104" s="6">
        <v>99.9</v>
      </c>
      <c r="AN104" s="6">
        <v>6.06948982027945</v>
      </c>
      <c r="AO104" s="6">
        <v>6.8246565</v>
      </c>
      <c r="AP104" s="6">
        <v>0</v>
      </c>
      <c r="AQ104" s="6">
        <v>0</v>
      </c>
      <c r="AR104" s="6">
        <v>0.362235570645077</v>
      </c>
      <c r="AS104" s="6">
        <v>0</v>
      </c>
      <c r="AT104" s="6">
        <v>0</v>
      </c>
      <c r="AU104" s="6">
        <v>0.0261164794985636</v>
      </c>
      <c r="AV104" s="6">
        <v>0</v>
      </c>
      <c r="AW104" s="6">
        <v>0</v>
      </c>
      <c r="AX104" s="6">
        <v>0.299033690258553</v>
      </c>
      <c r="AY104" s="6">
        <v>0</v>
      </c>
      <c r="AZ104" s="6">
        <v>0</v>
      </c>
      <c r="BA104" s="6">
        <v>0.312614259597806</v>
      </c>
      <c r="BB104" s="6">
        <v>0</v>
      </c>
      <c r="BC104" s="6">
        <v>0</v>
      </c>
      <c r="BD104" s="6">
        <v>0</v>
      </c>
      <c r="BE104" s="6">
        <v>0</v>
      </c>
      <c r="BF104" s="6">
        <v>0.05</v>
      </c>
      <c r="BG104" s="6">
        <v>0</v>
      </c>
      <c r="BH104" s="6">
        <v>0</v>
      </c>
      <c r="BI104" s="6">
        <v>0</v>
      </c>
      <c r="BJ104" s="6">
        <v>0.95</v>
      </c>
      <c r="BK104" s="6">
        <v>0</v>
      </c>
      <c r="BL104" s="6">
        <v>0</v>
      </c>
      <c r="BM104" s="6">
        <v>0</v>
      </c>
      <c r="BN104" s="6">
        <v>0</v>
      </c>
    </row>
    <row r="105" ht="17.1" customHeight="1" spans="1:66">
      <c r="A105" s="7">
        <v>50</v>
      </c>
      <c r="B105" s="7">
        <v>146</v>
      </c>
      <c r="C105" s="3" t="s">
        <v>172</v>
      </c>
      <c r="D105" s="8">
        <v>0.27</v>
      </c>
      <c r="E105" s="6">
        <v>3.927</v>
      </c>
      <c r="F105" s="6">
        <v>520</v>
      </c>
      <c r="G105" s="6">
        <f t="shared" si="3"/>
        <v>0.00755192307692308</v>
      </c>
      <c r="H105" s="6">
        <v>89</v>
      </c>
      <c r="I105" s="3" t="s">
        <v>67</v>
      </c>
      <c r="J105" s="3"/>
      <c r="K105" s="6">
        <v>1</v>
      </c>
      <c r="L105" s="6">
        <v>1</v>
      </c>
      <c r="M105" s="6">
        <v>1.2883</v>
      </c>
      <c r="N105" s="6">
        <v>0.605</v>
      </c>
      <c r="O105" s="6">
        <v>2.12942148760331</v>
      </c>
      <c r="P105" s="6">
        <v>0.6833</v>
      </c>
      <c r="Q105" s="6">
        <v>0.948087361528078</v>
      </c>
      <c r="R105" s="6">
        <v>0.432142857142857</v>
      </c>
      <c r="S105" s="6">
        <v>0.01744611</v>
      </c>
      <c r="T105" s="6">
        <v>0</v>
      </c>
      <c r="U105" s="6">
        <v>0.102525594541974</v>
      </c>
      <c r="V105" s="6">
        <v>0</v>
      </c>
      <c r="W105" s="6">
        <v>9.22802217844515</v>
      </c>
      <c r="X105" s="6">
        <v>0</v>
      </c>
      <c r="Y105" s="6">
        <v>9.22802217844515</v>
      </c>
      <c r="Z105" s="6">
        <v>1.3514</v>
      </c>
      <c r="AA105" s="6">
        <v>1.54</v>
      </c>
      <c r="AB105" s="6">
        <v>2.0886</v>
      </c>
      <c r="AC105" s="6">
        <v>1.9</v>
      </c>
      <c r="AD105" s="6">
        <v>0.1886</v>
      </c>
      <c r="AE105" s="6">
        <v>2</v>
      </c>
      <c r="AF105" s="6">
        <v>4</v>
      </c>
      <c r="AG105" s="6">
        <v>0.92736184954957</v>
      </c>
      <c r="AH105" s="6">
        <v>0</v>
      </c>
      <c r="AI105" s="6">
        <v>0.6557438524302</v>
      </c>
      <c r="AJ105" s="6">
        <v>111.532479712</v>
      </c>
      <c r="AK105" s="6">
        <v>47.867</v>
      </c>
      <c r="AL105" s="6">
        <v>118.251375</v>
      </c>
      <c r="AM105" s="6">
        <v>100</v>
      </c>
      <c r="AN105" s="6">
        <v>6.14743555688</v>
      </c>
      <c r="AO105" s="6">
        <v>6.82812</v>
      </c>
      <c r="AP105" s="6">
        <v>0</v>
      </c>
      <c r="AQ105" s="6">
        <v>0</v>
      </c>
      <c r="AR105" s="6">
        <v>0.43</v>
      </c>
      <c r="AS105" s="6">
        <v>0</v>
      </c>
      <c r="AT105" s="6">
        <v>0</v>
      </c>
      <c r="AU105" s="6">
        <v>0</v>
      </c>
      <c r="AV105" s="6">
        <v>0</v>
      </c>
      <c r="AW105" s="6">
        <v>0.03</v>
      </c>
      <c r="AX105" s="6">
        <v>0.4</v>
      </c>
      <c r="AY105" s="6">
        <v>0</v>
      </c>
      <c r="AZ105" s="6">
        <v>0</v>
      </c>
      <c r="BA105" s="6">
        <v>0.14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1</v>
      </c>
      <c r="BK105" s="6">
        <v>0</v>
      </c>
      <c r="BL105" s="6">
        <v>0</v>
      </c>
      <c r="BM105" s="6">
        <v>0</v>
      </c>
      <c r="BN105" s="6">
        <v>0</v>
      </c>
    </row>
    <row r="106" ht="34.2" customHeight="1" spans="1:66">
      <c r="A106" s="7">
        <v>49</v>
      </c>
      <c r="B106" s="7">
        <v>145</v>
      </c>
      <c r="C106" s="3" t="s">
        <v>173</v>
      </c>
      <c r="D106" s="8">
        <v>0.276</v>
      </c>
      <c r="E106" s="6">
        <v>3.89</v>
      </c>
      <c r="F106" s="6">
        <v>480</v>
      </c>
      <c r="G106" s="6">
        <f t="shared" si="3"/>
        <v>0.00810416666666667</v>
      </c>
      <c r="H106" s="6">
        <v>82.6</v>
      </c>
      <c r="I106" s="3" t="s">
        <v>170</v>
      </c>
      <c r="J106" s="3" t="s">
        <v>174</v>
      </c>
      <c r="K106" s="6">
        <v>0.97</v>
      </c>
      <c r="L106" s="6">
        <v>1</v>
      </c>
      <c r="M106" s="6">
        <v>1.29422680412371</v>
      </c>
      <c r="N106" s="6">
        <v>0.6161</v>
      </c>
      <c r="O106" s="6">
        <v>2.10067652024625</v>
      </c>
      <c r="P106" s="6">
        <v>0.678126804123711</v>
      </c>
      <c r="Q106" s="6">
        <v>0.944946204677564</v>
      </c>
      <c r="R106" s="6">
        <v>0.440071428571429</v>
      </c>
      <c r="S106" s="6">
        <v>0.0124079073227761</v>
      </c>
      <c r="T106" s="6">
        <v>0.00081729</v>
      </c>
      <c r="U106" s="6">
        <v>0.0860674390072993</v>
      </c>
      <c r="V106" s="6">
        <v>0.0464020196618787</v>
      </c>
      <c r="W106" s="6">
        <v>9.31806775153291</v>
      </c>
      <c r="X106" s="6">
        <v>4.87199271100162</v>
      </c>
      <c r="Y106" s="6">
        <v>14.1900604625345</v>
      </c>
      <c r="Z106" s="6">
        <v>1.35484536082474</v>
      </c>
      <c r="AA106" s="6">
        <v>1.5334</v>
      </c>
      <c r="AB106" s="6">
        <v>2.08515463917526</v>
      </c>
      <c r="AC106" s="6">
        <v>1.9066</v>
      </c>
      <c r="AD106" s="6">
        <v>0.178554639175258</v>
      </c>
      <c r="AE106" s="6">
        <v>2.06185567010309</v>
      </c>
      <c r="AF106" s="6">
        <v>4</v>
      </c>
      <c r="AG106" s="6">
        <v>0.950468500751844</v>
      </c>
      <c r="AH106" s="6">
        <v>0.6</v>
      </c>
      <c r="AI106" s="6">
        <v>0.794792542403821</v>
      </c>
      <c r="AJ106" s="6">
        <v>115.101123097732</v>
      </c>
      <c r="AK106" s="6">
        <v>51.8580044</v>
      </c>
      <c r="AL106" s="6">
        <v>120.221649484536</v>
      </c>
      <c r="AM106" s="6">
        <v>98.032</v>
      </c>
      <c r="AN106" s="6">
        <v>6.12177441659794</v>
      </c>
      <c r="AO106" s="6">
        <v>6.86889456</v>
      </c>
      <c r="AP106" s="6">
        <v>0</v>
      </c>
      <c r="AQ106" s="6">
        <v>0</v>
      </c>
      <c r="AR106" s="6">
        <v>0.422680412371134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0.422680412371134</v>
      </c>
      <c r="AY106" s="6">
        <v>0.0618556701030928</v>
      </c>
      <c r="AZ106" s="6">
        <v>0</v>
      </c>
      <c r="BA106" s="6">
        <v>0.0927835051546392</v>
      </c>
      <c r="BB106" s="6">
        <v>0</v>
      </c>
      <c r="BC106" s="6">
        <v>0</v>
      </c>
      <c r="BD106" s="6">
        <v>0</v>
      </c>
      <c r="BE106" s="6">
        <v>0.06</v>
      </c>
      <c r="BF106" s="6">
        <v>0.12</v>
      </c>
      <c r="BG106" s="6">
        <v>0</v>
      </c>
      <c r="BH106" s="6">
        <v>0</v>
      </c>
      <c r="BI106" s="6">
        <v>0</v>
      </c>
      <c r="BJ106" s="6">
        <v>0.82</v>
      </c>
      <c r="BK106" s="6">
        <v>0</v>
      </c>
      <c r="BL106" s="6">
        <v>0</v>
      </c>
      <c r="BM106" s="6">
        <v>0</v>
      </c>
      <c r="BN106" s="6">
        <v>0</v>
      </c>
    </row>
    <row r="107" ht="34.2" customHeight="1" spans="1:66">
      <c r="A107" s="7">
        <v>48</v>
      </c>
      <c r="B107" s="7">
        <v>144</v>
      </c>
      <c r="C107" s="3" t="s">
        <v>175</v>
      </c>
      <c r="D107" s="8">
        <v>0.281</v>
      </c>
      <c r="E107" s="6">
        <v>4.102</v>
      </c>
      <c r="F107" s="6">
        <v>420</v>
      </c>
      <c r="G107" s="6">
        <f t="shared" si="3"/>
        <v>0.00976666666666667</v>
      </c>
      <c r="H107" s="6">
        <v>79.6</v>
      </c>
      <c r="I107" s="3" t="s">
        <v>67</v>
      </c>
      <c r="J107" s="3"/>
      <c r="K107" s="6">
        <v>1</v>
      </c>
      <c r="L107" s="6">
        <v>1</v>
      </c>
      <c r="M107" s="6">
        <v>1.28033</v>
      </c>
      <c r="N107" s="6">
        <v>0.61825</v>
      </c>
      <c r="O107" s="6">
        <v>2.0708936514355</v>
      </c>
      <c r="P107" s="6">
        <v>0.66208</v>
      </c>
      <c r="Q107" s="6">
        <v>0.939070738916258</v>
      </c>
      <c r="R107" s="6">
        <v>0.441607142857143</v>
      </c>
      <c r="S107" s="6">
        <v>0.0170366911</v>
      </c>
      <c r="T107" s="6">
        <v>0.0012081875</v>
      </c>
      <c r="U107" s="6">
        <v>0.101946120305743</v>
      </c>
      <c r="V107" s="6">
        <v>0.0562215796885585</v>
      </c>
      <c r="W107" s="6">
        <v>7.04518882153056</v>
      </c>
      <c r="X107" s="6">
        <v>4.30843989764838</v>
      </c>
      <c r="Y107" s="6">
        <v>11.3536287191789</v>
      </c>
      <c r="Z107" s="6">
        <v>1.460975</v>
      </c>
      <c r="AA107" s="6">
        <v>1.52</v>
      </c>
      <c r="AB107" s="6">
        <v>1.979025</v>
      </c>
      <c r="AC107" s="6">
        <v>1.92</v>
      </c>
      <c r="AD107" s="6">
        <v>0.0590249999999999</v>
      </c>
      <c r="AE107" s="6">
        <v>2.15</v>
      </c>
      <c r="AF107" s="6">
        <v>3.85</v>
      </c>
      <c r="AG107" s="6">
        <v>0.962548700066651</v>
      </c>
      <c r="AH107" s="6">
        <v>0.653834841531101</v>
      </c>
      <c r="AI107" s="6">
        <v>0.822800097228969</v>
      </c>
      <c r="AJ107" s="6">
        <v>131.02281962736</v>
      </c>
      <c r="AK107" s="6">
        <v>47.7627685</v>
      </c>
      <c r="AL107" s="6">
        <v>105.24665</v>
      </c>
      <c r="AM107" s="6">
        <v>97.02</v>
      </c>
      <c r="AN107" s="6">
        <v>6.32224718212</v>
      </c>
      <c r="AO107" s="6">
        <v>6.9064681</v>
      </c>
      <c r="AP107" s="6">
        <v>0</v>
      </c>
      <c r="AQ107" s="6">
        <v>0.051</v>
      </c>
      <c r="AR107" s="6">
        <v>0.5495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0.3995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0.1</v>
      </c>
      <c r="BF107" s="6">
        <v>0.05</v>
      </c>
      <c r="BG107" s="6">
        <v>0</v>
      </c>
      <c r="BH107" s="6">
        <v>0</v>
      </c>
      <c r="BI107" s="6">
        <v>0</v>
      </c>
      <c r="BJ107" s="6">
        <v>0.85</v>
      </c>
      <c r="BK107" s="6">
        <v>0</v>
      </c>
      <c r="BL107" s="6">
        <v>0</v>
      </c>
      <c r="BM107" s="6">
        <v>0</v>
      </c>
      <c r="BN107" s="6">
        <v>0</v>
      </c>
    </row>
    <row r="108" ht="34.2" customHeight="1" spans="1:66">
      <c r="A108" s="7">
        <v>47</v>
      </c>
      <c r="B108" s="7">
        <v>143</v>
      </c>
      <c r="C108" s="3" t="s">
        <v>176</v>
      </c>
      <c r="D108" s="8">
        <v>0.286</v>
      </c>
      <c r="E108" s="6">
        <v>3.971</v>
      </c>
      <c r="F108" s="6">
        <v>337</v>
      </c>
      <c r="G108" s="6">
        <f t="shared" si="3"/>
        <v>0.0117833827893175</v>
      </c>
      <c r="H108" s="6">
        <v>81</v>
      </c>
      <c r="I108" s="3" t="s">
        <v>170</v>
      </c>
      <c r="J108" s="3" t="s">
        <v>177</v>
      </c>
      <c r="K108" s="6">
        <v>0.9925</v>
      </c>
      <c r="L108" s="6">
        <v>1</v>
      </c>
      <c r="M108" s="6">
        <v>1.39309823677582</v>
      </c>
      <c r="N108" s="6">
        <v>0.63475</v>
      </c>
      <c r="O108" s="6">
        <v>2.194719553802</v>
      </c>
      <c r="P108" s="6">
        <v>0.758348236775819</v>
      </c>
      <c r="Q108" s="6">
        <v>0.970644405329584</v>
      </c>
      <c r="R108" s="6">
        <v>0.453392857142857</v>
      </c>
      <c r="S108" s="6">
        <v>0.00104304576515301</v>
      </c>
      <c r="T108" s="6">
        <v>0.0001561875</v>
      </c>
      <c r="U108" s="6">
        <v>0.0231830162446168</v>
      </c>
      <c r="V108" s="6">
        <v>0.0196888534855455</v>
      </c>
      <c r="W108" s="6">
        <v>3.8222973058031</v>
      </c>
      <c r="X108" s="6">
        <v>3.51459890891657</v>
      </c>
      <c r="Y108" s="6">
        <v>7.33689621471967</v>
      </c>
      <c r="Z108" s="6">
        <v>0.947229219143577</v>
      </c>
      <c r="AA108" s="6">
        <v>1.591</v>
      </c>
      <c r="AB108" s="6">
        <v>2.49277078085642</v>
      </c>
      <c r="AC108" s="6">
        <v>1.849</v>
      </c>
      <c r="AD108" s="6">
        <v>0.643770780856423</v>
      </c>
      <c r="AE108" s="6">
        <v>1.15869017632242</v>
      </c>
      <c r="AF108" s="6">
        <v>4.85</v>
      </c>
      <c r="AG108" s="6">
        <v>0.404640957532807</v>
      </c>
      <c r="AH108" s="6">
        <v>0.357071421427142</v>
      </c>
      <c r="AI108" s="6">
        <v>0.381598155467939</v>
      </c>
      <c r="AJ108" s="6">
        <v>34.1033348997481</v>
      </c>
      <c r="AK108" s="6">
        <v>86.1504645</v>
      </c>
      <c r="AL108" s="6">
        <v>165.398488664987</v>
      </c>
      <c r="AM108" s="6">
        <v>98.3</v>
      </c>
      <c r="AN108" s="6">
        <v>5.24291562304786</v>
      </c>
      <c r="AO108" s="6">
        <v>6.7692405</v>
      </c>
      <c r="AP108" s="6">
        <v>0</v>
      </c>
      <c r="AQ108" s="6">
        <v>0</v>
      </c>
      <c r="AR108" s="6">
        <v>0.0151133501259446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0.856423173803527</v>
      </c>
      <c r="AY108" s="6">
        <v>0</v>
      </c>
      <c r="AZ108" s="6">
        <v>0</v>
      </c>
      <c r="BA108" s="6">
        <v>0.128463476070529</v>
      </c>
      <c r="BB108" s="6">
        <v>0</v>
      </c>
      <c r="BC108" s="6">
        <v>0</v>
      </c>
      <c r="BD108" s="6">
        <v>0</v>
      </c>
      <c r="BE108" s="6">
        <v>0</v>
      </c>
      <c r="BF108" s="6">
        <v>0.85</v>
      </c>
      <c r="BG108" s="6">
        <v>0</v>
      </c>
      <c r="BH108" s="6">
        <v>0</v>
      </c>
      <c r="BI108" s="6">
        <v>0</v>
      </c>
      <c r="BJ108" s="6">
        <v>0.15</v>
      </c>
      <c r="BK108" s="6">
        <v>0</v>
      </c>
      <c r="BL108" s="6">
        <v>0</v>
      </c>
      <c r="BM108" s="6">
        <v>0</v>
      </c>
      <c r="BN108" s="6">
        <v>0</v>
      </c>
    </row>
    <row r="109" ht="34.2" customHeight="1" spans="1:66">
      <c r="A109" s="7">
        <v>45</v>
      </c>
      <c r="B109" s="7">
        <v>142</v>
      </c>
      <c r="C109" s="3" t="s">
        <v>178</v>
      </c>
      <c r="D109" s="8">
        <v>0.291</v>
      </c>
      <c r="E109" s="6">
        <v>3.982</v>
      </c>
      <c r="F109" s="6">
        <v>495</v>
      </c>
      <c r="G109" s="6">
        <f t="shared" si="3"/>
        <v>0.00804444444444444</v>
      </c>
      <c r="H109" s="6">
        <v>87</v>
      </c>
      <c r="I109" s="3" t="s">
        <v>67</v>
      </c>
      <c r="J109" s="3"/>
      <c r="K109" s="6">
        <v>1</v>
      </c>
      <c r="L109" s="6">
        <v>1</v>
      </c>
      <c r="M109" s="6">
        <v>1.4476</v>
      </c>
      <c r="N109" s="6">
        <v>0.605</v>
      </c>
      <c r="O109" s="6">
        <v>2.39272727272727</v>
      </c>
      <c r="P109" s="6">
        <v>0.8426</v>
      </c>
      <c r="Q109" s="6">
        <v>1.00426796514056</v>
      </c>
      <c r="R109" s="6">
        <v>0.432142857142857</v>
      </c>
      <c r="S109" s="6">
        <v>0.00642624000000001</v>
      </c>
      <c r="T109" s="6">
        <v>0</v>
      </c>
      <c r="U109" s="6">
        <v>0.0553770601296798</v>
      </c>
      <c r="V109" s="6">
        <v>0</v>
      </c>
      <c r="W109" s="6">
        <v>5.74077501965896</v>
      </c>
      <c r="X109" s="6">
        <v>0</v>
      </c>
      <c r="Y109" s="6">
        <v>5.74077501965896</v>
      </c>
      <c r="Z109" s="6">
        <v>0.98</v>
      </c>
      <c r="AA109" s="6">
        <v>1.54</v>
      </c>
      <c r="AB109" s="6">
        <v>2.46</v>
      </c>
      <c r="AC109" s="6">
        <v>1.9</v>
      </c>
      <c r="AD109" s="6">
        <v>0.56</v>
      </c>
      <c r="AE109" s="6">
        <v>2</v>
      </c>
      <c r="AF109" s="6">
        <v>4</v>
      </c>
      <c r="AG109" s="6">
        <v>0.282842712474619</v>
      </c>
      <c r="AH109" s="6">
        <v>0</v>
      </c>
      <c r="AI109" s="6">
        <v>0.2</v>
      </c>
      <c r="AJ109" s="6">
        <v>95.8540467712</v>
      </c>
      <c r="AK109" s="6">
        <v>47.867</v>
      </c>
      <c r="AL109" s="6">
        <v>198.828</v>
      </c>
      <c r="AM109" s="6">
        <v>100</v>
      </c>
      <c r="AN109" s="6">
        <v>5.6782774304</v>
      </c>
      <c r="AO109" s="6">
        <v>6.82812</v>
      </c>
      <c r="AP109" s="6">
        <v>0</v>
      </c>
      <c r="AQ109" s="6">
        <v>0.12</v>
      </c>
      <c r="AR109" s="6">
        <v>0.04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0.04</v>
      </c>
      <c r="AY109" s="6">
        <v>0</v>
      </c>
      <c r="AZ109" s="6">
        <v>0</v>
      </c>
      <c r="BA109" s="6">
        <v>0.8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1</v>
      </c>
      <c r="BK109" s="6">
        <v>0</v>
      </c>
      <c r="BL109" s="6">
        <v>0</v>
      </c>
      <c r="BM109" s="6">
        <v>0</v>
      </c>
      <c r="BN109" s="6">
        <v>0</v>
      </c>
    </row>
    <row r="110" ht="51.25" customHeight="1" spans="1:66">
      <c r="A110" s="7">
        <v>44</v>
      </c>
      <c r="B110" s="7">
        <v>141</v>
      </c>
      <c r="C110" s="3" t="s">
        <v>179</v>
      </c>
      <c r="D110" s="8">
        <v>0.297</v>
      </c>
      <c r="E110" s="6">
        <v>3.903</v>
      </c>
      <c r="F110" s="6">
        <v>260</v>
      </c>
      <c r="G110" s="6">
        <f t="shared" si="3"/>
        <v>0.0150115384615385</v>
      </c>
      <c r="H110" s="6">
        <v>89.5</v>
      </c>
      <c r="I110" s="3" t="s">
        <v>67</v>
      </c>
      <c r="J110" s="3"/>
      <c r="K110" s="6">
        <v>1</v>
      </c>
      <c r="L110" s="6">
        <v>1</v>
      </c>
      <c r="M110" s="6">
        <v>1.324</v>
      </c>
      <c r="N110" s="6">
        <v>0.633</v>
      </c>
      <c r="O110" s="6">
        <v>2.09162717219589</v>
      </c>
      <c r="P110" s="6">
        <v>0.691</v>
      </c>
      <c r="Q110" s="6">
        <v>0.947446567610504</v>
      </c>
      <c r="R110" s="6">
        <v>0.452142857142857</v>
      </c>
      <c r="S110" s="6">
        <v>0.029524</v>
      </c>
      <c r="T110" s="6">
        <v>0.003136</v>
      </c>
      <c r="U110" s="6">
        <v>0.129777562590594</v>
      </c>
      <c r="V110" s="6">
        <v>0.0884676145339652</v>
      </c>
      <c r="W110" s="6">
        <v>8.56101149510871</v>
      </c>
      <c r="X110" s="6">
        <v>4.16057724454155</v>
      </c>
      <c r="Y110" s="6">
        <v>12.7215887396503</v>
      </c>
      <c r="Z110" s="6">
        <v>1.407</v>
      </c>
      <c r="AA110" s="6">
        <v>1.504</v>
      </c>
      <c r="AB110" s="6">
        <v>2.033</v>
      </c>
      <c r="AC110" s="6">
        <v>1.936</v>
      </c>
      <c r="AD110" s="6">
        <v>0.0970000000000002</v>
      </c>
      <c r="AE110" s="6">
        <v>2.2</v>
      </c>
      <c r="AF110" s="6">
        <v>3.8</v>
      </c>
      <c r="AG110" s="6">
        <v>0.871779788708135</v>
      </c>
      <c r="AH110" s="6">
        <v>0.4</v>
      </c>
      <c r="AI110" s="6">
        <v>0.678232998312527</v>
      </c>
      <c r="AJ110" s="6">
        <v>138.852530784</v>
      </c>
      <c r="AK110" s="6">
        <v>47.2847816</v>
      </c>
      <c r="AL110" s="6">
        <v>127.21</v>
      </c>
      <c r="AM110" s="6">
        <v>99.4</v>
      </c>
      <c r="AN110" s="6">
        <v>6.226814008</v>
      </c>
      <c r="AO110" s="6">
        <v>6.774794</v>
      </c>
      <c r="AP110" s="6">
        <v>0</v>
      </c>
      <c r="AQ110" s="6">
        <v>0.2</v>
      </c>
      <c r="AR110" s="6">
        <v>0.5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0.3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0.2</v>
      </c>
      <c r="BH110" s="6">
        <v>0</v>
      </c>
      <c r="BI110" s="6">
        <v>0</v>
      </c>
      <c r="BJ110" s="6">
        <v>0.8</v>
      </c>
      <c r="BK110" s="6">
        <v>0</v>
      </c>
      <c r="BL110" s="6">
        <v>0</v>
      </c>
      <c r="BM110" s="6">
        <v>0</v>
      </c>
      <c r="BN110" s="6">
        <v>0</v>
      </c>
    </row>
    <row r="111" ht="34.2" customHeight="1" spans="1:66">
      <c r="A111" s="7">
        <v>43</v>
      </c>
      <c r="B111" s="7">
        <v>140</v>
      </c>
      <c r="C111" s="3" t="s">
        <v>180</v>
      </c>
      <c r="D111" s="8">
        <v>0.302</v>
      </c>
      <c r="E111" s="6">
        <v>3.772</v>
      </c>
      <c r="F111" s="6">
        <v>350</v>
      </c>
      <c r="G111" s="6">
        <f t="shared" si="3"/>
        <v>0.0107771428571429</v>
      </c>
      <c r="H111" s="6">
        <v>95</v>
      </c>
      <c r="I111" s="3" t="s">
        <v>67</v>
      </c>
      <c r="J111" s="3"/>
      <c r="K111" s="6">
        <v>1</v>
      </c>
      <c r="L111" s="6">
        <v>1</v>
      </c>
      <c r="M111" s="6">
        <v>1.39506</v>
      </c>
      <c r="N111" s="6">
        <v>0.6146425</v>
      </c>
      <c r="O111" s="6">
        <v>2.26970962795446</v>
      </c>
      <c r="P111" s="6">
        <v>0.7804175</v>
      </c>
      <c r="Q111" s="6">
        <v>0.981020642532495</v>
      </c>
      <c r="R111" s="6">
        <v>0.439030357142857</v>
      </c>
      <c r="S111" s="6">
        <v>0.0300307964</v>
      </c>
      <c r="T111" s="6">
        <v>0.00058663469375</v>
      </c>
      <c r="U111" s="6">
        <v>0.124219717791596</v>
      </c>
      <c r="V111" s="6">
        <v>0.0394059031137794</v>
      </c>
      <c r="W111" s="6">
        <v>9.09262008512506</v>
      </c>
      <c r="X111" s="6">
        <v>4.58748319702833</v>
      </c>
      <c r="Y111" s="6">
        <v>13.6801032821534</v>
      </c>
      <c r="Z111" s="6">
        <v>1.20715</v>
      </c>
      <c r="AA111" s="6">
        <v>1.57861</v>
      </c>
      <c r="AB111" s="6">
        <v>2.23285</v>
      </c>
      <c r="AC111" s="6">
        <v>1.86139</v>
      </c>
      <c r="AD111" s="6">
        <v>0.37146</v>
      </c>
      <c r="AE111" s="6">
        <v>1.92</v>
      </c>
      <c r="AF111" s="6">
        <v>4.08</v>
      </c>
      <c r="AG111" s="6">
        <v>0.819512049941915</v>
      </c>
      <c r="AH111" s="6">
        <v>0.271293199325011</v>
      </c>
      <c r="AI111" s="6">
        <v>0.610409698481274</v>
      </c>
      <c r="AJ111" s="6">
        <v>115.41755615712</v>
      </c>
      <c r="AK111" s="6">
        <v>57.1730111</v>
      </c>
      <c r="AL111" s="6">
        <v>163.5993</v>
      </c>
      <c r="AM111" s="6">
        <v>96.0565</v>
      </c>
      <c r="AN111" s="6">
        <v>5.80423545304</v>
      </c>
      <c r="AO111" s="6">
        <v>6.864100139</v>
      </c>
      <c r="AP111" s="6">
        <v>0</v>
      </c>
      <c r="AQ111" s="6">
        <v>0.322</v>
      </c>
      <c r="AR111" s="6">
        <v>0.299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0.379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0.08</v>
      </c>
      <c r="BG111" s="6">
        <v>0</v>
      </c>
      <c r="BH111" s="6">
        <v>0.0805</v>
      </c>
      <c r="BI111" s="6">
        <v>0</v>
      </c>
      <c r="BJ111" s="6">
        <v>0.8395</v>
      </c>
      <c r="BK111" s="6">
        <v>0</v>
      </c>
      <c r="BL111" s="6">
        <v>0</v>
      </c>
      <c r="BM111" s="6">
        <v>0</v>
      </c>
      <c r="BN111" s="6">
        <v>0</v>
      </c>
    </row>
    <row r="112" ht="34.2" customHeight="1" spans="1:66">
      <c r="A112" s="7">
        <v>41</v>
      </c>
      <c r="B112" s="7">
        <v>139</v>
      </c>
      <c r="C112" s="3" t="s">
        <v>181</v>
      </c>
      <c r="D112" s="8">
        <v>0.307</v>
      </c>
      <c r="E112" s="6">
        <v>3.628</v>
      </c>
      <c r="F112" s="6">
        <v>560</v>
      </c>
      <c r="G112" s="6">
        <f t="shared" si="3"/>
        <v>0.00647857142857143</v>
      </c>
      <c r="H112" s="6">
        <v>93.38</v>
      </c>
      <c r="I112" s="3" t="s">
        <v>170</v>
      </c>
      <c r="J112" s="3" t="s">
        <v>182</v>
      </c>
      <c r="K112" s="6">
        <v>0.96</v>
      </c>
      <c r="L112" s="6">
        <v>1</v>
      </c>
      <c r="M112" s="6">
        <v>1.4784625</v>
      </c>
      <c r="N112" s="6">
        <v>0.616228</v>
      </c>
      <c r="O112" s="6">
        <v>2.39921344047982</v>
      </c>
      <c r="P112" s="6">
        <v>0.8622345</v>
      </c>
      <c r="Q112" s="6">
        <v>1.00949910086616</v>
      </c>
      <c r="R112" s="6">
        <v>0.440162857142857</v>
      </c>
      <c r="S112" s="6">
        <v>0.02322801109375</v>
      </c>
      <c r="T112" s="6">
        <v>0.001206752016</v>
      </c>
      <c r="U112" s="6">
        <v>0.103085053086728</v>
      </c>
      <c r="V112" s="6">
        <v>0.0563725380902996</v>
      </c>
      <c r="W112" s="6">
        <v>9.88825082431895</v>
      </c>
      <c r="X112" s="6">
        <v>3.60757745176618</v>
      </c>
      <c r="Y112" s="6">
        <v>13.4958282760851</v>
      </c>
      <c r="Z112" s="6">
        <v>1.05165416666667</v>
      </c>
      <c r="AA112" s="6">
        <v>1.531288</v>
      </c>
      <c r="AB112" s="6">
        <v>2.38834583333333</v>
      </c>
      <c r="AC112" s="6">
        <v>1.908712</v>
      </c>
      <c r="AD112" s="6">
        <v>0.479633833333333</v>
      </c>
      <c r="AE112" s="6">
        <v>2.13333333333333</v>
      </c>
      <c r="AF112" s="6">
        <v>3.952</v>
      </c>
      <c r="AG112" s="6">
        <v>0.339934634239519</v>
      </c>
      <c r="AH112" s="6">
        <v>0.376425291392595</v>
      </c>
      <c r="AI112" s="6">
        <v>0.358644361140361</v>
      </c>
      <c r="AJ112" s="6">
        <v>123.995185416667</v>
      </c>
      <c r="AK112" s="6">
        <v>52.95001648</v>
      </c>
      <c r="AL112" s="6">
        <v>210.725666666667</v>
      </c>
      <c r="AM112" s="6">
        <v>98.28384</v>
      </c>
      <c r="AN112" s="6">
        <v>5.70686587212083</v>
      </c>
      <c r="AO112" s="6">
        <v>6.9110692112</v>
      </c>
      <c r="AP112" s="6">
        <v>0</v>
      </c>
      <c r="AQ112" s="6">
        <v>0.48875</v>
      </c>
      <c r="AR112" s="6">
        <v>0.133333333333333</v>
      </c>
      <c r="AS112" s="6">
        <v>0.08625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0.291666666666667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0.016</v>
      </c>
      <c r="BJ112" s="6">
        <v>0.8968</v>
      </c>
      <c r="BK112" s="6">
        <v>0</v>
      </c>
      <c r="BL112" s="6">
        <v>0</v>
      </c>
      <c r="BM112" s="6">
        <v>0.032</v>
      </c>
      <c r="BN112" s="6">
        <v>0.0552</v>
      </c>
    </row>
    <row r="113" ht="34.2" customHeight="1" spans="1:66">
      <c r="A113" s="7">
        <v>40</v>
      </c>
      <c r="B113" s="7">
        <v>138</v>
      </c>
      <c r="C113" s="3" t="s">
        <v>183</v>
      </c>
      <c r="D113" s="8">
        <v>0.312</v>
      </c>
      <c r="E113" s="6">
        <v>3.357</v>
      </c>
      <c r="F113" s="6">
        <v>560</v>
      </c>
      <c r="G113" s="6">
        <f t="shared" si="3"/>
        <v>0.00599464285714286</v>
      </c>
      <c r="H113" s="6">
        <v>87.9</v>
      </c>
      <c r="I113" s="3" t="s">
        <v>170</v>
      </c>
      <c r="J113" s="3" t="s">
        <v>184</v>
      </c>
      <c r="K113" s="6">
        <v>0.98</v>
      </c>
      <c r="L113" s="6">
        <v>1</v>
      </c>
      <c r="M113" s="6">
        <v>1.30122448979592</v>
      </c>
      <c r="N113" s="6">
        <v>0.605</v>
      </c>
      <c r="O113" s="6">
        <v>2.15078428065441</v>
      </c>
      <c r="P113" s="6">
        <v>0.696224489795918</v>
      </c>
      <c r="Q113" s="6">
        <v>0.952645463462277</v>
      </c>
      <c r="R113" s="6">
        <v>0.432142857142857</v>
      </c>
      <c r="S113" s="6">
        <v>0.013149521032903</v>
      </c>
      <c r="T113" s="6">
        <v>0</v>
      </c>
      <c r="U113" s="6">
        <v>0.0881257322592961</v>
      </c>
      <c r="V113" s="6">
        <v>0</v>
      </c>
      <c r="W113" s="6">
        <v>9.47886717929405</v>
      </c>
      <c r="X113" s="6">
        <v>0</v>
      </c>
      <c r="Y113" s="6">
        <v>9.47886717929405</v>
      </c>
      <c r="Z113" s="6">
        <v>1.33857142857143</v>
      </c>
      <c r="AA113" s="6">
        <v>1.54</v>
      </c>
      <c r="AB113" s="6">
        <v>2.10142857142857</v>
      </c>
      <c r="AC113" s="6">
        <v>1.9</v>
      </c>
      <c r="AD113" s="6">
        <v>0.201428571428572</v>
      </c>
      <c r="AE113" s="6">
        <v>2.04081632653061</v>
      </c>
      <c r="AF113" s="6">
        <v>4</v>
      </c>
      <c r="AG113" s="6">
        <v>0.924919934173442</v>
      </c>
      <c r="AH113" s="6">
        <v>0</v>
      </c>
      <c r="AI113" s="6">
        <v>0.654017157508656</v>
      </c>
      <c r="AJ113" s="6">
        <v>113.335987461225</v>
      </c>
      <c r="AK113" s="6">
        <v>47.867</v>
      </c>
      <c r="AL113" s="6">
        <v>122.008163265306</v>
      </c>
      <c r="AM113" s="6">
        <v>100</v>
      </c>
      <c r="AN113" s="6">
        <v>6.1151709255102</v>
      </c>
      <c r="AO113" s="6">
        <v>6.82812</v>
      </c>
      <c r="AP113" s="6">
        <v>0</v>
      </c>
      <c r="AQ113" s="6">
        <v>0</v>
      </c>
      <c r="AR113" s="6">
        <v>0.408163265306122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0.408163265306122</v>
      </c>
      <c r="AY113" s="6">
        <v>0</v>
      </c>
      <c r="AZ113" s="6">
        <v>0.0408163265306122</v>
      </c>
      <c r="BA113" s="6">
        <v>0.142857142857143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1</v>
      </c>
      <c r="BK113" s="6">
        <v>0</v>
      </c>
      <c r="BL113" s="6">
        <v>0</v>
      </c>
      <c r="BM113" s="6">
        <v>0</v>
      </c>
      <c r="BN113" s="6">
        <v>0</v>
      </c>
    </row>
    <row r="114" ht="34.2" customHeight="1" spans="1:66">
      <c r="A114" s="7">
        <v>39</v>
      </c>
      <c r="B114" s="7">
        <v>137</v>
      </c>
      <c r="C114" s="3" t="s">
        <v>185</v>
      </c>
      <c r="D114" s="8">
        <v>0.317</v>
      </c>
      <c r="E114" s="6">
        <v>3.457</v>
      </c>
      <c r="F114" s="6">
        <v>320</v>
      </c>
      <c r="G114" s="6">
        <f t="shared" si="3"/>
        <v>0.010803125</v>
      </c>
      <c r="H114" s="6">
        <v>85</v>
      </c>
      <c r="I114" s="3" t="s">
        <v>67</v>
      </c>
      <c r="J114" s="3"/>
      <c r="K114" s="6">
        <v>1</v>
      </c>
      <c r="L114" s="6">
        <v>1</v>
      </c>
      <c r="M114" s="6">
        <v>1.3696</v>
      </c>
      <c r="N114" s="6">
        <v>0.605</v>
      </c>
      <c r="O114" s="6">
        <v>2.26380165289256</v>
      </c>
      <c r="P114" s="6">
        <v>0.7646</v>
      </c>
      <c r="Q114" s="6">
        <v>0.976759571657986</v>
      </c>
      <c r="R114" s="6">
        <v>0.432142857142857</v>
      </c>
      <c r="S114" s="6">
        <v>0.02367984</v>
      </c>
      <c r="T114" s="6">
        <v>0</v>
      </c>
      <c r="U114" s="6">
        <v>0.112355835731051</v>
      </c>
      <c r="V114" s="6">
        <v>0</v>
      </c>
      <c r="W114" s="6">
        <v>13.6262455524319</v>
      </c>
      <c r="X114" s="6">
        <v>0</v>
      </c>
      <c r="Y114" s="6">
        <v>13.6262455524319</v>
      </c>
      <c r="Z114" s="6">
        <v>1.2154</v>
      </c>
      <c r="AA114" s="6">
        <v>1.54</v>
      </c>
      <c r="AB114" s="6">
        <v>2.2246</v>
      </c>
      <c r="AC114" s="6">
        <v>1.9</v>
      </c>
      <c r="AD114" s="6">
        <v>0.3246</v>
      </c>
      <c r="AE114" s="6">
        <v>2.04</v>
      </c>
      <c r="AF114" s="6">
        <v>4</v>
      </c>
      <c r="AG114" s="6">
        <v>0.915641851380768</v>
      </c>
      <c r="AH114" s="6">
        <v>0</v>
      </c>
      <c r="AI114" s="6">
        <v>0.647456562249546</v>
      </c>
      <c r="AJ114" s="6">
        <v>105.5810198272</v>
      </c>
      <c r="AK114" s="6">
        <v>47.867</v>
      </c>
      <c r="AL114" s="6">
        <v>164.064</v>
      </c>
      <c r="AM114" s="6">
        <v>100</v>
      </c>
      <c r="AN114" s="6">
        <v>5.7796776996</v>
      </c>
      <c r="AO114" s="6">
        <v>6.82812</v>
      </c>
      <c r="AP114" s="6">
        <v>0</v>
      </c>
      <c r="AQ114" s="6">
        <v>0</v>
      </c>
      <c r="AR114" s="6">
        <v>0.28</v>
      </c>
      <c r="AS114" s="6">
        <v>0.02</v>
      </c>
      <c r="AT114" s="6">
        <v>0</v>
      </c>
      <c r="AU114" s="6">
        <v>0.16</v>
      </c>
      <c r="AV114" s="6">
        <v>0.16</v>
      </c>
      <c r="AW114" s="6">
        <v>0</v>
      </c>
      <c r="AX114" s="6">
        <v>0.24</v>
      </c>
      <c r="AY114" s="6">
        <v>0</v>
      </c>
      <c r="AZ114" s="6">
        <v>0</v>
      </c>
      <c r="BA114" s="6">
        <v>0.14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1</v>
      </c>
      <c r="BK114" s="6">
        <v>0</v>
      </c>
      <c r="BL114" s="6">
        <v>0</v>
      </c>
      <c r="BM114" s="6">
        <v>0</v>
      </c>
      <c r="BN114" s="6">
        <v>0</v>
      </c>
    </row>
    <row r="115" ht="34.2" customHeight="1" spans="1:66">
      <c r="A115" s="7">
        <v>38</v>
      </c>
      <c r="B115" s="7">
        <v>136</v>
      </c>
      <c r="C115" s="3" t="s">
        <v>186</v>
      </c>
      <c r="D115" s="8">
        <v>0.323</v>
      </c>
      <c r="E115" s="6">
        <v>3.426</v>
      </c>
      <c r="F115" s="6">
        <v>360</v>
      </c>
      <c r="G115" s="6">
        <f t="shared" si="3"/>
        <v>0.00951666666666667</v>
      </c>
      <c r="H115" s="6">
        <v>88</v>
      </c>
      <c r="I115" s="3" t="s">
        <v>170</v>
      </c>
      <c r="J115" s="3" t="s">
        <v>187</v>
      </c>
      <c r="K115" s="6">
        <v>0.967</v>
      </c>
      <c r="L115" s="6">
        <v>1</v>
      </c>
      <c r="M115" s="6">
        <v>1.32368148914168</v>
      </c>
      <c r="N115" s="6">
        <v>0.6106925</v>
      </c>
      <c r="O115" s="6">
        <v>2.16750899862316</v>
      </c>
      <c r="P115" s="6">
        <v>0.712988989141675</v>
      </c>
      <c r="Q115" s="6">
        <v>0.957845941517339</v>
      </c>
      <c r="R115" s="6">
        <v>0.436208928571429</v>
      </c>
      <c r="S115" s="6">
        <v>0.0130278116842354</v>
      </c>
      <c r="T115" s="6">
        <v>0.00062223294375</v>
      </c>
      <c r="U115" s="6">
        <v>0.0862287798001358</v>
      </c>
      <c r="V115" s="6">
        <v>0.0408464120424426</v>
      </c>
      <c r="W115" s="6">
        <v>10.4740457020338</v>
      </c>
      <c r="X115" s="6">
        <v>1.63828490641237</v>
      </c>
      <c r="Y115" s="6">
        <v>12.1123306084462</v>
      </c>
      <c r="Z115" s="6">
        <v>1.28241985522234</v>
      </c>
      <c r="AA115" s="6">
        <v>1.529605</v>
      </c>
      <c r="AB115" s="6">
        <v>2.15758014477766</v>
      </c>
      <c r="AC115" s="6">
        <v>1.910395</v>
      </c>
      <c r="AD115" s="6">
        <v>0.247185144777663</v>
      </c>
      <c r="AE115" s="6">
        <v>2.06825232678387</v>
      </c>
      <c r="AF115" s="6">
        <v>4</v>
      </c>
      <c r="AG115" s="6">
        <v>0.869746213642262</v>
      </c>
      <c r="AH115" s="6">
        <v>0</v>
      </c>
      <c r="AI115" s="6">
        <v>0.615003445577767</v>
      </c>
      <c r="AJ115" s="6">
        <v>110.773513680248</v>
      </c>
      <c r="AK115" s="6">
        <v>50.0131715</v>
      </c>
      <c r="AL115" s="6">
        <v>134.775284384695</v>
      </c>
      <c r="AM115" s="6">
        <v>100.594</v>
      </c>
      <c r="AN115" s="6">
        <v>6.04532411845915</v>
      </c>
      <c r="AO115" s="6">
        <v>6.818517297</v>
      </c>
      <c r="AP115" s="6">
        <v>0</v>
      </c>
      <c r="AQ115" s="6">
        <v>0</v>
      </c>
      <c r="AR115" s="6">
        <v>0.346432264736298</v>
      </c>
      <c r="AS115" s="6">
        <v>0</v>
      </c>
      <c r="AT115" s="6">
        <v>0</v>
      </c>
      <c r="AU115" s="6">
        <v>0</v>
      </c>
      <c r="AV115" s="6">
        <v>0.0682523267838676</v>
      </c>
      <c r="AW115" s="6">
        <v>0</v>
      </c>
      <c r="AX115" s="6">
        <v>0.346432264736298</v>
      </c>
      <c r="AY115" s="6">
        <v>0</v>
      </c>
      <c r="AZ115" s="6">
        <v>0</v>
      </c>
      <c r="BA115" s="6">
        <v>0.238883143743537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0.9505</v>
      </c>
      <c r="BK115" s="6">
        <v>0</v>
      </c>
      <c r="BL115" s="6">
        <v>0</v>
      </c>
      <c r="BM115" s="6">
        <v>0</v>
      </c>
      <c r="BN115" s="6">
        <v>0.0495</v>
      </c>
    </row>
    <row r="116" ht="51.25" customHeight="1" spans="1:66">
      <c r="A116" s="7">
        <v>37</v>
      </c>
      <c r="B116" s="7">
        <v>135</v>
      </c>
      <c r="C116" s="3" t="s">
        <v>188</v>
      </c>
      <c r="D116" s="8">
        <v>0.328</v>
      </c>
      <c r="E116" s="6">
        <v>3.38</v>
      </c>
      <c r="F116" s="6">
        <v>422</v>
      </c>
      <c r="G116" s="6">
        <f t="shared" si="3"/>
        <v>0.00800947867298578</v>
      </c>
      <c r="H116" s="6">
        <v>90</v>
      </c>
      <c r="I116" s="3" t="s">
        <v>170</v>
      </c>
      <c r="J116" s="3" t="s">
        <v>189</v>
      </c>
      <c r="K116" s="6">
        <v>0.975</v>
      </c>
      <c r="L116" s="6">
        <v>1</v>
      </c>
      <c r="M116" s="6">
        <v>1.34769230769231</v>
      </c>
      <c r="N116" s="6">
        <v>0.605</v>
      </c>
      <c r="O116" s="6">
        <v>2.22759059122696</v>
      </c>
      <c r="P116" s="6">
        <v>0.742692307692308</v>
      </c>
      <c r="Q116" s="6">
        <v>0.96903334832087</v>
      </c>
      <c r="R116" s="6">
        <v>0.432142857142857</v>
      </c>
      <c r="S116" s="6">
        <v>0.0128639053254438</v>
      </c>
      <c r="T116" s="6">
        <v>0</v>
      </c>
      <c r="U116" s="6">
        <v>0.0841580507788427</v>
      </c>
      <c r="V116" s="6">
        <v>0</v>
      </c>
      <c r="W116" s="6">
        <v>10.0788941582873</v>
      </c>
      <c r="X116" s="6">
        <v>0</v>
      </c>
      <c r="Y116" s="6">
        <v>10.0788941582873</v>
      </c>
      <c r="Z116" s="6">
        <v>1.19974358974359</v>
      </c>
      <c r="AA116" s="6">
        <v>1.54</v>
      </c>
      <c r="AB116" s="6">
        <v>2.24025641025641</v>
      </c>
      <c r="AC116" s="6">
        <v>1.9</v>
      </c>
      <c r="AD116" s="6">
        <v>0.34025641025641</v>
      </c>
      <c r="AE116" s="6">
        <v>2.05128205128205</v>
      </c>
      <c r="AF116" s="6">
        <v>4</v>
      </c>
      <c r="AG116" s="6">
        <v>0.749314830574485</v>
      </c>
      <c r="AH116" s="6">
        <v>0</v>
      </c>
      <c r="AI116" s="6">
        <v>0.529845597942867</v>
      </c>
      <c r="AJ116" s="6">
        <v>105.383633148718</v>
      </c>
      <c r="AK116" s="6">
        <v>47.867</v>
      </c>
      <c r="AL116" s="6">
        <v>149.830769230769</v>
      </c>
      <c r="AM116" s="6">
        <v>100</v>
      </c>
      <c r="AN116" s="6">
        <v>5.95759282692308</v>
      </c>
      <c r="AO116" s="6">
        <v>6.82812</v>
      </c>
      <c r="AP116" s="6">
        <v>0</v>
      </c>
      <c r="AQ116" s="6">
        <v>0</v>
      </c>
      <c r="AR116" s="6">
        <v>0.256410256410256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0.256410256410256</v>
      </c>
      <c r="AY116" s="6">
        <v>0</v>
      </c>
      <c r="AZ116" s="6">
        <v>0.0512820512820513</v>
      </c>
      <c r="BA116" s="6">
        <v>0.435897435897436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1</v>
      </c>
      <c r="BK116" s="6">
        <v>0</v>
      </c>
      <c r="BL116" s="6">
        <v>0</v>
      </c>
      <c r="BM116" s="6">
        <v>0</v>
      </c>
      <c r="BN116" s="6">
        <v>0</v>
      </c>
    </row>
    <row r="117" ht="34.2" customHeight="1" spans="1:66">
      <c r="A117" s="7">
        <v>36</v>
      </c>
      <c r="B117" s="7">
        <v>134</v>
      </c>
      <c r="C117" s="3" t="s">
        <v>190</v>
      </c>
      <c r="D117" s="8">
        <v>0.333</v>
      </c>
      <c r="E117" s="6">
        <v>3.278</v>
      </c>
      <c r="F117" s="6">
        <v>200</v>
      </c>
      <c r="G117" s="6">
        <f t="shared" si="3"/>
        <v>0.01639</v>
      </c>
      <c r="H117" s="6">
        <v>84.4</v>
      </c>
      <c r="I117" s="3" t="s">
        <v>67</v>
      </c>
      <c r="J117" s="3"/>
      <c r="K117" s="6">
        <v>1</v>
      </c>
      <c r="L117" s="6">
        <v>1</v>
      </c>
      <c r="M117" s="6">
        <v>1.3240025</v>
      </c>
      <c r="N117" s="6">
        <v>0.6103425</v>
      </c>
      <c r="O117" s="6">
        <v>2.16927790543834</v>
      </c>
      <c r="P117" s="6">
        <v>0.71366</v>
      </c>
      <c r="Q117" s="6">
        <v>0.958125612784443</v>
      </c>
      <c r="R117" s="6">
        <v>0.435958928571429</v>
      </c>
      <c r="S117" s="6">
        <v>0.02269925499375</v>
      </c>
      <c r="T117" s="6">
        <v>0.00045834519375</v>
      </c>
      <c r="U117" s="6">
        <v>0.113793379788052</v>
      </c>
      <c r="V117" s="6">
        <v>0.03507702308508</v>
      </c>
      <c r="W117" s="6">
        <v>8.75648678713478</v>
      </c>
      <c r="X117" s="6">
        <v>2.09288910068782</v>
      </c>
      <c r="Y117" s="6">
        <v>10.8493758878226</v>
      </c>
      <c r="Z117" s="6">
        <v>1.3404425</v>
      </c>
      <c r="AA117" s="6">
        <v>1.559005</v>
      </c>
      <c r="AB117" s="6">
        <v>2.0995575</v>
      </c>
      <c r="AC117" s="6">
        <v>1.880995</v>
      </c>
      <c r="AD117" s="6">
        <v>0.2185625</v>
      </c>
      <c r="AE117" s="6">
        <v>2</v>
      </c>
      <c r="AF117" s="6">
        <v>4</v>
      </c>
      <c r="AG117" s="6">
        <v>0.924662100445346</v>
      </c>
      <c r="AH117" s="6">
        <v>0</v>
      </c>
      <c r="AI117" s="6">
        <v>0.653834841531101</v>
      </c>
      <c r="AJ117" s="6">
        <v>117.6938641172</v>
      </c>
      <c r="AK117" s="6">
        <v>51.8210415</v>
      </c>
      <c r="AL117" s="6">
        <v>127.92965</v>
      </c>
      <c r="AM117" s="6">
        <v>97.764</v>
      </c>
      <c r="AN117" s="6">
        <v>6.0800511022975</v>
      </c>
      <c r="AO117" s="6">
        <v>6.852066957</v>
      </c>
      <c r="AP117" s="6">
        <v>0</v>
      </c>
      <c r="AQ117" s="6">
        <v>0.13075</v>
      </c>
      <c r="AR117" s="6">
        <v>0.4275</v>
      </c>
      <c r="AS117" s="6">
        <v>0.01425</v>
      </c>
      <c r="AT117" s="6">
        <v>0</v>
      </c>
      <c r="AU117" s="6">
        <v>0</v>
      </c>
      <c r="AV117" s="6">
        <v>0</v>
      </c>
      <c r="AW117" s="6">
        <v>0</v>
      </c>
      <c r="AX117" s="6">
        <v>0.4275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0.05</v>
      </c>
      <c r="BI117" s="6">
        <v>0</v>
      </c>
      <c r="BJ117" s="6">
        <v>0.9405</v>
      </c>
      <c r="BK117" s="6">
        <v>0</v>
      </c>
      <c r="BL117" s="6">
        <v>0</v>
      </c>
      <c r="BM117" s="6">
        <v>0</v>
      </c>
      <c r="BN117" s="6">
        <v>0.0095</v>
      </c>
    </row>
    <row r="118" ht="17.1" customHeight="1" spans="1:66">
      <c r="A118" s="7">
        <v>35</v>
      </c>
      <c r="B118" s="7">
        <v>133</v>
      </c>
      <c r="C118" s="3" t="s">
        <v>191</v>
      </c>
      <c r="D118" s="8">
        <v>0.338</v>
      </c>
      <c r="E118" s="6">
        <v>3.118</v>
      </c>
      <c r="F118" s="6">
        <v>260</v>
      </c>
      <c r="G118" s="6">
        <f t="shared" si="3"/>
        <v>0.0119923076923077</v>
      </c>
      <c r="H118" s="6">
        <v>53</v>
      </c>
      <c r="I118" s="3" t="s">
        <v>67</v>
      </c>
      <c r="J118" s="3"/>
      <c r="K118" s="6">
        <v>1</v>
      </c>
      <c r="L118" s="6">
        <v>1</v>
      </c>
      <c r="M118" s="6">
        <v>1.3097</v>
      </c>
      <c r="N118" s="6">
        <v>0.60995</v>
      </c>
      <c r="O118" s="6">
        <v>2.147225182392</v>
      </c>
      <c r="P118" s="6">
        <v>0.69975</v>
      </c>
      <c r="Q118" s="6">
        <v>0.953281049270473</v>
      </c>
      <c r="R118" s="6">
        <v>0.435678571428571</v>
      </c>
      <c r="S118" s="6">
        <v>0.01992991</v>
      </c>
      <c r="T118" s="6">
        <v>0.0005717475</v>
      </c>
      <c r="U118" s="6">
        <v>0.107790588055221</v>
      </c>
      <c r="V118" s="6">
        <v>0.0392019708596256</v>
      </c>
      <c r="W118" s="6">
        <v>7.75990257341763</v>
      </c>
      <c r="X118" s="6">
        <v>3.03412258966956</v>
      </c>
      <c r="Y118" s="6">
        <v>10.7940251630872</v>
      </c>
      <c r="Z118" s="6">
        <v>1.36775</v>
      </c>
      <c r="AA118" s="6">
        <v>1.53685</v>
      </c>
      <c r="AB118" s="6">
        <v>2.07225</v>
      </c>
      <c r="AC118" s="6">
        <v>1.90315</v>
      </c>
      <c r="AD118" s="6">
        <v>0.1691</v>
      </c>
      <c r="AE118" s="6">
        <v>2</v>
      </c>
      <c r="AF118" s="6">
        <v>4</v>
      </c>
      <c r="AG118" s="6">
        <v>0.953939201416946</v>
      </c>
      <c r="AH118" s="6">
        <v>0.6</v>
      </c>
      <c r="AI118" s="6">
        <v>0.796868872525461</v>
      </c>
      <c r="AJ118" s="6">
        <v>117.9058570224</v>
      </c>
      <c r="AK118" s="6">
        <v>52.925495</v>
      </c>
      <c r="AL118" s="6">
        <v>120.3485</v>
      </c>
      <c r="AM118" s="6">
        <v>97.264</v>
      </c>
      <c r="AN118" s="6">
        <v>6.1222396108</v>
      </c>
      <c r="AO118" s="6">
        <v>6.91155117</v>
      </c>
      <c r="AP118" s="6">
        <v>0</v>
      </c>
      <c r="AQ118" s="6">
        <v>0.09</v>
      </c>
      <c r="AR118" s="6">
        <v>0.455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0.455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0.045</v>
      </c>
      <c r="BF118" s="6">
        <v>0</v>
      </c>
      <c r="BG118" s="6">
        <v>0</v>
      </c>
      <c r="BH118" s="6">
        <v>0</v>
      </c>
      <c r="BI118" s="6">
        <v>0</v>
      </c>
      <c r="BJ118" s="6">
        <v>0.91</v>
      </c>
      <c r="BK118" s="6">
        <v>0.045</v>
      </c>
      <c r="BL118" s="6">
        <v>0</v>
      </c>
      <c r="BM118" s="6">
        <v>0</v>
      </c>
      <c r="BN118" s="6">
        <v>0</v>
      </c>
    </row>
    <row r="119" ht="34.2" customHeight="1" spans="1:66">
      <c r="A119" s="7">
        <v>34</v>
      </c>
      <c r="B119" s="7">
        <v>132</v>
      </c>
      <c r="C119" s="3" t="s">
        <v>192</v>
      </c>
      <c r="D119" s="8">
        <v>0.343</v>
      </c>
      <c r="E119" s="6">
        <v>2.936</v>
      </c>
      <c r="F119" s="6">
        <v>415</v>
      </c>
      <c r="G119" s="6">
        <f t="shared" si="3"/>
        <v>0.00707469879518072</v>
      </c>
      <c r="H119" s="6">
        <v>93.88</v>
      </c>
      <c r="I119" s="3" t="s">
        <v>170</v>
      </c>
      <c r="J119" s="3" t="s">
        <v>174</v>
      </c>
      <c r="K119" s="6">
        <v>0.97</v>
      </c>
      <c r="L119" s="6">
        <v>1</v>
      </c>
      <c r="M119" s="6">
        <v>1.31958762886598</v>
      </c>
      <c r="N119" s="6">
        <v>0.59975</v>
      </c>
      <c r="O119" s="6">
        <v>2.20022947705874</v>
      </c>
      <c r="P119" s="6">
        <v>0.719837628865979</v>
      </c>
      <c r="Q119" s="6">
        <v>0.961639632155108</v>
      </c>
      <c r="R119" s="6">
        <v>0.428392857142857</v>
      </c>
      <c r="S119" s="6">
        <v>0.013102922733553</v>
      </c>
      <c r="T119" s="6">
        <v>0.000891187499999999</v>
      </c>
      <c r="U119" s="6">
        <v>0.0867452802885768</v>
      </c>
      <c r="V119" s="6">
        <v>0.0497753458793763</v>
      </c>
      <c r="W119" s="6">
        <v>10.3019682715772</v>
      </c>
      <c r="X119" s="6">
        <v>6.80795230069288</v>
      </c>
      <c r="Y119" s="6">
        <v>17.1099205722701</v>
      </c>
      <c r="Z119" s="6">
        <v>1.29484536082474</v>
      </c>
      <c r="AA119" s="6">
        <v>1.5595</v>
      </c>
      <c r="AB119" s="6">
        <v>2.14515463917526</v>
      </c>
      <c r="AC119" s="6">
        <v>1.8805</v>
      </c>
      <c r="AD119" s="6">
        <v>0.264654639175258</v>
      </c>
      <c r="AE119" s="6">
        <v>2.06185567010309</v>
      </c>
      <c r="AF119" s="6">
        <v>4</v>
      </c>
      <c r="AG119" s="6">
        <v>0.882994354860365</v>
      </c>
      <c r="AH119" s="6">
        <v>0.547722557505166</v>
      </c>
      <c r="AI119" s="6">
        <v>0.734737718752506</v>
      </c>
      <c r="AJ119" s="6">
        <v>111.26194582268</v>
      </c>
      <c r="AK119" s="6">
        <v>51.490086275</v>
      </c>
      <c r="AL119" s="6">
        <v>132.017525773196</v>
      </c>
      <c r="AM119" s="6">
        <v>93.37</v>
      </c>
      <c r="AN119" s="6">
        <v>6.0609728871134</v>
      </c>
      <c r="AO119" s="6">
        <v>6.69137685</v>
      </c>
      <c r="AP119" s="6">
        <v>0</v>
      </c>
      <c r="AQ119" s="6">
        <v>0</v>
      </c>
      <c r="AR119" s="6">
        <v>0.360824742268041</v>
      </c>
      <c r="AS119" s="6">
        <v>0</v>
      </c>
      <c r="AT119" s="6">
        <v>0</v>
      </c>
      <c r="AU119" s="6">
        <v>0</v>
      </c>
      <c r="AV119" s="6">
        <v>0.0618556701030928</v>
      </c>
      <c r="AW119" s="6">
        <v>0</v>
      </c>
      <c r="AX119" s="6">
        <v>0.360824742268041</v>
      </c>
      <c r="AY119" s="6">
        <v>0</v>
      </c>
      <c r="AZ119" s="6">
        <v>0</v>
      </c>
      <c r="BA119" s="6">
        <v>0.216494845360825</v>
      </c>
      <c r="BB119" s="6">
        <v>0.15</v>
      </c>
      <c r="BC119" s="6">
        <v>0</v>
      </c>
      <c r="BD119" s="6">
        <v>0</v>
      </c>
      <c r="BE119" s="6">
        <v>0</v>
      </c>
      <c r="BF119" s="6">
        <v>0.15</v>
      </c>
      <c r="BG119" s="6">
        <v>0</v>
      </c>
      <c r="BH119" s="6">
        <v>0</v>
      </c>
      <c r="BI119" s="6">
        <v>0</v>
      </c>
      <c r="BJ119" s="6">
        <v>0.7</v>
      </c>
      <c r="BK119" s="6">
        <v>0</v>
      </c>
      <c r="BL119" s="6">
        <v>0</v>
      </c>
      <c r="BM119" s="6">
        <v>0</v>
      </c>
      <c r="BN119" s="6">
        <v>0</v>
      </c>
    </row>
    <row r="120" ht="17.1" customHeight="1" spans="1:66">
      <c r="A120" s="7">
        <v>33</v>
      </c>
      <c r="B120" s="7">
        <v>131</v>
      </c>
      <c r="C120" s="3" t="s">
        <v>193</v>
      </c>
      <c r="D120" s="8">
        <v>0.349</v>
      </c>
      <c r="E120" s="6">
        <v>2.903</v>
      </c>
      <c r="F120" s="6">
        <v>291</v>
      </c>
      <c r="G120" s="6">
        <f t="shared" si="3"/>
        <v>0.00997594501718213</v>
      </c>
      <c r="H120" s="6">
        <v>79.1</v>
      </c>
      <c r="I120" s="3" t="s">
        <v>170</v>
      </c>
      <c r="J120" s="3" t="s">
        <v>194</v>
      </c>
      <c r="K120" s="6">
        <v>0.9248</v>
      </c>
      <c r="L120" s="6">
        <v>1</v>
      </c>
      <c r="M120" s="6">
        <v>1.29459991349481</v>
      </c>
      <c r="N120" s="6">
        <v>0.605</v>
      </c>
      <c r="O120" s="6">
        <v>2.13983456776002</v>
      </c>
      <c r="P120" s="6">
        <v>0.68959991349481</v>
      </c>
      <c r="Q120" s="6">
        <v>0.950309162801429</v>
      </c>
      <c r="R120" s="6">
        <v>0.432142857142857</v>
      </c>
      <c r="S120" s="6">
        <v>0.0178469420069129</v>
      </c>
      <c r="T120" s="6">
        <v>0</v>
      </c>
      <c r="U120" s="6">
        <v>0.103192071947963</v>
      </c>
      <c r="V120" s="6">
        <v>0</v>
      </c>
      <c r="W120" s="6">
        <v>8.31589045072476</v>
      </c>
      <c r="X120" s="6">
        <v>0</v>
      </c>
      <c r="Y120" s="6">
        <v>8.31589045072476</v>
      </c>
      <c r="Z120" s="6">
        <v>1.39811634948097</v>
      </c>
      <c r="AA120" s="6">
        <v>1.54</v>
      </c>
      <c r="AB120" s="6">
        <v>2.04188365051903</v>
      </c>
      <c r="AC120" s="6">
        <v>1.9</v>
      </c>
      <c r="AD120" s="6">
        <v>0.141883650519031</v>
      </c>
      <c r="AE120" s="6">
        <v>2.08131487889273</v>
      </c>
      <c r="AF120" s="6">
        <v>4</v>
      </c>
      <c r="AG120" s="6">
        <v>0.963591717345628</v>
      </c>
      <c r="AH120" s="6">
        <v>0</v>
      </c>
      <c r="AI120" s="6">
        <v>0.681362237630284</v>
      </c>
      <c r="AJ120" s="6">
        <v>123.144110760969</v>
      </c>
      <c r="AK120" s="6">
        <v>47.867</v>
      </c>
      <c r="AL120" s="6">
        <v>115.889662629758</v>
      </c>
      <c r="AM120" s="6">
        <v>100</v>
      </c>
      <c r="AN120" s="6">
        <v>6.18458195178201</v>
      </c>
      <c r="AO120" s="6">
        <v>6.82812</v>
      </c>
      <c r="AP120" s="6">
        <v>0</v>
      </c>
      <c r="AQ120" s="6">
        <v>0.064878892733564</v>
      </c>
      <c r="AR120" s="6">
        <v>0.47772491349481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0.426903114186851</v>
      </c>
      <c r="AY120" s="6">
        <v>0</v>
      </c>
      <c r="AZ120" s="6">
        <v>0.0304930795847751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1</v>
      </c>
      <c r="BK120" s="6">
        <v>0</v>
      </c>
      <c r="BL120" s="6">
        <v>0</v>
      </c>
      <c r="BM120" s="6">
        <v>0</v>
      </c>
      <c r="BN120" s="6">
        <v>0</v>
      </c>
    </row>
    <row r="121" ht="51.25" customHeight="1" spans="1:66">
      <c r="A121" s="7">
        <v>32</v>
      </c>
      <c r="B121" s="7">
        <v>130</v>
      </c>
      <c r="C121" s="3" t="s">
        <v>195</v>
      </c>
      <c r="D121" s="8">
        <v>0.354</v>
      </c>
      <c r="E121" s="6">
        <v>2.695</v>
      </c>
      <c r="F121" s="6">
        <v>187</v>
      </c>
      <c r="G121" s="6">
        <f t="shared" si="3"/>
        <v>0.0144117647058824</v>
      </c>
      <c r="H121" s="6">
        <v>86.22</v>
      </c>
      <c r="I121" s="3" t="s">
        <v>67</v>
      </c>
      <c r="J121" s="3"/>
      <c r="K121" s="6">
        <v>1</v>
      </c>
      <c r="L121" s="6">
        <v>1</v>
      </c>
      <c r="M121" s="6">
        <v>1.36184</v>
      </c>
      <c r="N121" s="6">
        <v>0.60707</v>
      </c>
      <c r="O121" s="6">
        <v>2.2432997842094</v>
      </c>
      <c r="P121" s="6">
        <v>0.75477</v>
      </c>
      <c r="Q121" s="6">
        <v>0.973018276668105</v>
      </c>
      <c r="R121" s="6">
        <v>0.433621428571429</v>
      </c>
      <c r="S121" s="6">
        <v>0.0205822144</v>
      </c>
      <c r="T121" s="6">
        <v>0.0002337651</v>
      </c>
      <c r="U121" s="6">
        <v>0.105346463968797</v>
      </c>
      <c r="V121" s="6">
        <v>0.0251855283019267</v>
      </c>
      <c r="W121" s="6">
        <v>11.0704096534316</v>
      </c>
      <c r="X121" s="6">
        <v>0.749548160954322</v>
      </c>
      <c r="Y121" s="6">
        <v>11.8199578143859</v>
      </c>
      <c r="Z121" s="6">
        <v>1.22924</v>
      </c>
      <c r="AA121" s="6">
        <v>1.53622</v>
      </c>
      <c r="AB121" s="6">
        <v>2.21076</v>
      </c>
      <c r="AC121" s="6">
        <v>1.90378</v>
      </c>
      <c r="AD121" s="6">
        <v>0.30698</v>
      </c>
      <c r="AE121" s="6">
        <v>2</v>
      </c>
      <c r="AF121" s="6">
        <v>4</v>
      </c>
      <c r="AG121" s="6">
        <v>0.784856674813943</v>
      </c>
      <c r="AH121" s="6">
        <v>0</v>
      </c>
      <c r="AI121" s="6">
        <v>0.554977477020464</v>
      </c>
      <c r="AJ121" s="6">
        <v>111.05773213824</v>
      </c>
      <c r="AK121" s="6">
        <v>48.647426</v>
      </c>
      <c r="AL121" s="6">
        <v>149.5964</v>
      </c>
      <c r="AM121" s="6">
        <v>100.216</v>
      </c>
      <c r="AN121" s="6">
        <v>5.95561939048</v>
      </c>
      <c r="AO121" s="6">
        <v>6.824628108</v>
      </c>
      <c r="AP121" s="6">
        <v>0</v>
      </c>
      <c r="AQ121" s="6">
        <v>0.12</v>
      </c>
      <c r="AR121" s="6">
        <v>0.308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0.308</v>
      </c>
      <c r="AY121" s="6">
        <v>0</v>
      </c>
      <c r="AZ121" s="6">
        <v>0</v>
      </c>
      <c r="BA121" s="6">
        <v>0.264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0.982</v>
      </c>
      <c r="BK121" s="6">
        <v>0</v>
      </c>
      <c r="BL121" s="6">
        <v>0</v>
      </c>
      <c r="BM121" s="6">
        <v>0</v>
      </c>
      <c r="BN121" s="6">
        <v>0.018</v>
      </c>
    </row>
    <row r="122" ht="17.1" customHeight="1" spans="1:66">
      <c r="A122" s="7">
        <v>31</v>
      </c>
      <c r="B122" s="7">
        <v>129</v>
      </c>
      <c r="C122" s="3" t="s">
        <v>196</v>
      </c>
      <c r="D122" s="8">
        <v>0.359</v>
      </c>
      <c r="E122" s="6">
        <v>2.692</v>
      </c>
      <c r="F122" s="6">
        <v>265</v>
      </c>
      <c r="G122" s="6">
        <f t="shared" si="3"/>
        <v>0.0101584905660377</v>
      </c>
      <c r="H122" s="6">
        <v>94.9</v>
      </c>
      <c r="I122" s="3" t="s">
        <v>67</v>
      </c>
      <c r="J122" s="3"/>
      <c r="K122" s="6">
        <v>1</v>
      </c>
      <c r="L122" s="6">
        <v>1</v>
      </c>
      <c r="M122" s="6">
        <v>1.47404</v>
      </c>
      <c r="N122" s="6">
        <v>0.61354</v>
      </c>
      <c r="O122" s="6">
        <v>2.40251654333866</v>
      </c>
      <c r="P122" s="6">
        <v>0.8605</v>
      </c>
      <c r="Q122" s="6">
        <v>1.00929366856451</v>
      </c>
      <c r="R122" s="6">
        <v>0.438242857142857</v>
      </c>
      <c r="S122" s="6">
        <v>0.0340772784</v>
      </c>
      <c r="T122" s="6">
        <v>0.0009819684</v>
      </c>
      <c r="U122" s="6">
        <v>0.125234268197005</v>
      </c>
      <c r="V122" s="6">
        <v>0.0510747058540079</v>
      </c>
      <c r="W122" s="6">
        <v>7.6733736028491</v>
      </c>
      <c r="X122" s="6">
        <v>2.84270535696339</v>
      </c>
      <c r="Y122" s="6">
        <v>10.5160789598125</v>
      </c>
      <c r="Z122" s="6">
        <v>1.13234</v>
      </c>
      <c r="AA122" s="6">
        <v>1.54784</v>
      </c>
      <c r="AB122" s="6">
        <v>2.30766</v>
      </c>
      <c r="AC122" s="6">
        <v>1.89216</v>
      </c>
      <c r="AD122" s="6">
        <v>0.4155</v>
      </c>
      <c r="AE122" s="6">
        <v>2.084</v>
      </c>
      <c r="AF122" s="6">
        <v>3.916</v>
      </c>
      <c r="AG122" s="6">
        <v>0.613957653262829</v>
      </c>
      <c r="AH122" s="6">
        <v>0.494918175055231</v>
      </c>
      <c r="AI122" s="6">
        <v>0.557623528915343</v>
      </c>
      <c r="AJ122" s="6">
        <v>136.943310992</v>
      </c>
      <c r="AK122" s="6">
        <v>50.10883036</v>
      </c>
      <c r="AL122" s="6">
        <v>203.189</v>
      </c>
      <c r="AM122" s="6">
        <v>96.50952</v>
      </c>
      <c r="AN122" s="6">
        <v>5.6860576816</v>
      </c>
      <c r="AO122" s="6">
        <v>6.969880752</v>
      </c>
      <c r="AP122" s="6">
        <v>0</v>
      </c>
      <c r="AQ122" s="6">
        <v>0.616</v>
      </c>
      <c r="AR122" s="6">
        <v>0.234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0.15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0.028</v>
      </c>
      <c r="BG122" s="6">
        <v>0</v>
      </c>
      <c r="BH122" s="6">
        <v>0</v>
      </c>
      <c r="BI122" s="6">
        <v>0</v>
      </c>
      <c r="BJ122" s="6">
        <v>0.916</v>
      </c>
      <c r="BK122" s="6">
        <v>0</v>
      </c>
      <c r="BL122" s="6">
        <v>0</v>
      </c>
      <c r="BM122" s="6">
        <v>0.056</v>
      </c>
      <c r="BN122" s="6">
        <v>0</v>
      </c>
    </row>
    <row r="123" ht="34.2" customHeight="1" spans="1:66">
      <c r="A123" s="7">
        <v>30</v>
      </c>
      <c r="B123" s="7">
        <v>128</v>
      </c>
      <c r="C123" s="3" t="s">
        <v>197</v>
      </c>
      <c r="D123" s="8">
        <v>0.364</v>
      </c>
      <c r="E123" s="6">
        <v>2.712</v>
      </c>
      <c r="F123" s="6">
        <v>260</v>
      </c>
      <c r="G123" s="6">
        <f t="shared" si="3"/>
        <v>0.0104307692307692</v>
      </c>
      <c r="H123" s="6">
        <v>84.7</v>
      </c>
      <c r="I123" s="3" t="s">
        <v>170</v>
      </c>
      <c r="J123" s="3" t="s">
        <v>198</v>
      </c>
      <c r="K123" s="6">
        <v>0.95</v>
      </c>
      <c r="L123" s="6">
        <v>1</v>
      </c>
      <c r="M123" s="6">
        <v>1.33473684210526</v>
      </c>
      <c r="N123" s="6">
        <v>0.605</v>
      </c>
      <c r="O123" s="6">
        <v>2.2061765985211</v>
      </c>
      <c r="P123" s="6">
        <v>0.729736842105263</v>
      </c>
      <c r="Q123" s="6">
        <v>0.964464322101404</v>
      </c>
      <c r="R123" s="6">
        <v>0.432142857142857</v>
      </c>
      <c r="S123" s="6">
        <v>0.0129722991689751</v>
      </c>
      <c r="T123" s="6">
        <v>0</v>
      </c>
      <c r="U123" s="6">
        <v>0.0853321778170918</v>
      </c>
      <c r="V123" s="6">
        <v>0</v>
      </c>
      <c r="W123" s="6">
        <v>10.8710706351208</v>
      </c>
      <c r="X123" s="6">
        <v>0</v>
      </c>
      <c r="Y123" s="6">
        <v>10.8710706351208</v>
      </c>
      <c r="Z123" s="6">
        <v>1.21789473684211</v>
      </c>
      <c r="AA123" s="6">
        <v>1.54</v>
      </c>
      <c r="AB123" s="6">
        <v>2.22210526315789</v>
      </c>
      <c r="AC123" s="6">
        <v>1.9</v>
      </c>
      <c r="AD123" s="6">
        <v>0.322105263157895</v>
      </c>
      <c r="AE123" s="6">
        <v>2.10526315789474</v>
      </c>
      <c r="AF123" s="6">
        <v>4</v>
      </c>
      <c r="AG123" s="6">
        <v>0.787717344583988</v>
      </c>
      <c r="AH123" s="6">
        <v>0</v>
      </c>
      <c r="AI123" s="6">
        <v>0.557000276013598</v>
      </c>
      <c r="AJ123" s="6">
        <v>109.153202442105</v>
      </c>
      <c r="AK123" s="6">
        <v>47.867</v>
      </c>
      <c r="AL123" s="6">
        <v>148.310526315789</v>
      </c>
      <c r="AM123" s="6">
        <v>100</v>
      </c>
      <c r="AN123" s="6">
        <v>5.96181478684211</v>
      </c>
      <c r="AO123" s="6">
        <v>6.82812</v>
      </c>
      <c r="AP123" s="6">
        <v>0</v>
      </c>
      <c r="AQ123" s="6">
        <v>0</v>
      </c>
      <c r="AR123" s="6">
        <v>0.263157894736842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0.263157894736842</v>
      </c>
      <c r="AY123" s="6">
        <v>0</v>
      </c>
      <c r="AZ123" s="6">
        <v>0.105263157894737</v>
      </c>
      <c r="BA123" s="6">
        <v>0.368421052631579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1</v>
      </c>
      <c r="BK123" s="6">
        <v>0</v>
      </c>
      <c r="BL123" s="6">
        <v>0</v>
      </c>
      <c r="BM123" s="6">
        <v>0</v>
      </c>
      <c r="BN123" s="6">
        <v>0</v>
      </c>
    </row>
    <row r="124" ht="34.2" customHeight="1" spans="1:66">
      <c r="A124" s="7">
        <v>29</v>
      </c>
      <c r="B124" s="7">
        <v>127</v>
      </c>
      <c r="C124" s="3" t="s">
        <v>199</v>
      </c>
      <c r="D124" s="8">
        <v>0.37</v>
      </c>
      <c r="E124" s="6">
        <v>2.699</v>
      </c>
      <c r="F124" s="6">
        <v>360</v>
      </c>
      <c r="G124" s="6">
        <f t="shared" si="3"/>
        <v>0.00749722222222222</v>
      </c>
      <c r="H124" s="6">
        <v>90.3</v>
      </c>
      <c r="I124" s="3" t="s">
        <v>67</v>
      </c>
      <c r="J124" s="3"/>
      <c r="K124" s="6">
        <v>1</v>
      </c>
      <c r="L124" s="6">
        <v>1</v>
      </c>
      <c r="M124" s="6">
        <v>1.33554</v>
      </c>
      <c r="N124" s="6">
        <v>0.60551</v>
      </c>
      <c r="O124" s="6">
        <v>2.20564482832653</v>
      </c>
      <c r="P124" s="6">
        <v>0.73003</v>
      </c>
      <c r="Q124" s="6">
        <v>0.964502238436631</v>
      </c>
      <c r="R124" s="6">
        <v>0.432507142857143</v>
      </c>
      <c r="S124" s="6">
        <v>0.0165303084</v>
      </c>
      <c r="T124" s="6">
        <v>4.30899e-5</v>
      </c>
      <c r="U124" s="6">
        <v>0.0962683610726382</v>
      </c>
      <c r="V124" s="6">
        <v>0.0108409270795605</v>
      </c>
      <c r="W124" s="6">
        <v>9.61975203432569</v>
      </c>
      <c r="X124" s="6">
        <v>0.304957350648904</v>
      </c>
      <c r="Y124" s="6">
        <v>9.92470938497459</v>
      </c>
      <c r="Z124" s="6">
        <v>1.2299</v>
      </c>
      <c r="AA124" s="6">
        <v>1.54252</v>
      </c>
      <c r="AB124" s="6">
        <v>2.2101</v>
      </c>
      <c r="AC124" s="6">
        <v>1.89748</v>
      </c>
      <c r="AD124" s="6">
        <v>0.31262</v>
      </c>
      <c r="AE124" s="6">
        <v>2</v>
      </c>
      <c r="AF124" s="6">
        <v>4</v>
      </c>
      <c r="AG124" s="6">
        <v>0.774596669241483</v>
      </c>
      <c r="AH124" s="6">
        <v>0</v>
      </c>
      <c r="AI124" s="6">
        <v>0.547722557505166</v>
      </c>
      <c r="AJ124" s="6">
        <v>104.35015493696</v>
      </c>
      <c r="AK124" s="6">
        <v>48.292058</v>
      </c>
      <c r="AL124" s="6">
        <v>142.115425</v>
      </c>
      <c r="AM124" s="6">
        <v>99.718</v>
      </c>
      <c r="AN124" s="6">
        <v>6.009872352648</v>
      </c>
      <c r="AO124" s="6">
        <v>6.831214788</v>
      </c>
      <c r="AP124" s="6">
        <v>0</v>
      </c>
      <c r="AQ124" s="6">
        <v>0</v>
      </c>
      <c r="AR124" s="6">
        <v>0.3</v>
      </c>
      <c r="AS124" s="6">
        <v>0</v>
      </c>
      <c r="AT124" s="6">
        <v>0</v>
      </c>
      <c r="AU124" s="6">
        <v>0</v>
      </c>
      <c r="AV124" s="6">
        <v>0</v>
      </c>
      <c r="AW124" s="6">
        <v>0.018</v>
      </c>
      <c r="AX124" s="6">
        <v>0.282</v>
      </c>
      <c r="AY124" s="6">
        <v>0</v>
      </c>
      <c r="AZ124" s="6">
        <v>0</v>
      </c>
      <c r="BA124" s="6">
        <v>0.4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0.006</v>
      </c>
      <c r="BI124" s="6">
        <v>0</v>
      </c>
      <c r="BJ124" s="6">
        <v>0.994</v>
      </c>
      <c r="BK124" s="6">
        <v>0</v>
      </c>
      <c r="BL124" s="6">
        <v>0</v>
      </c>
      <c r="BM124" s="6">
        <v>0</v>
      </c>
      <c r="BN124" s="6">
        <v>0</v>
      </c>
    </row>
    <row r="125" ht="51.25" customHeight="1" spans="1:66">
      <c r="A125" s="7">
        <v>28</v>
      </c>
      <c r="B125" s="7">
        <v>126</v>
      </c>
      <c r="C125" s="3" t="s">
        <v>200</v>
      </c>
      <c r="D125" s="8">
        <v>0.375</v>
      </c>
      <c r="E125" s="6">
        <v>2.631</v>
      </c>
      <c r="F125" s="6">
        <v>290</v>
      </c>
      <c r="G125" s="6">
        <f t="shared" si="3"/>
        <v>0.00907241379310345</v>
      </c>
      <c r="H125" s="6">
        <v>90.7</v>
      </c>
      <c r="I125" s="3" t="s">
        <v>170</v>
      </c>
      <c r="J125" s="3" t="s">
        <v>201</v>
      </c>
      <c r="K125" s="6">
        <v>0.98725</v>
      </c>
      <c r="L125" s="6">
        <v>1</v>
      </c>
      <c r="M125" s="6">
        <v>1.36698404659407</v>
      </c>
      <c r="N125" s="6">
        <v>0.61025</v>
      </c>
      <c r="O125" s="6">
        <v>2.24003940449664</v>
      </c>
      <c r="P125" s="6">
        <v>0.756734046594074</v>
      </c>
      <c r="Q125" s="6">
        <v>0.973288487890394</v>
      </c>
      <c r="R125" s="6">
        <v>0.435892857142857</v>
      </c>
      <c r="S125" s="6">
        <v>0.0253503114699761</v>
      </c>
      <c r="T125" s="6">
        <v>0.0001561875</v>
      </c>
      <c r="U125" s="6">
        <v>0.116473788999973</v>
      </c>
      <c r="V125" s="6">
        <v>0.0204793113477263</v>
      </c>
      <c r="W125" s="6">
        <v>11.1926891851814</v>
      </c>
      <c r="X125" s="6">
        <v>3.51459890891657</v>
      </c>
      <c r="Y125" s="6">
        <v>14.707288094098</v>
      </c>
      <c r="Z125" s="6">
        <v>1.23503418586984</v>
      </c>
      <c r="AA125" s="6">
        <v>1.549</v>
      </c>
      <c r="AB125" s="6">
        <v>2.20496581413016</v>
      </c>
      <c r="AC125" s="6">
        <v>1.891</v>
      </c>
      <c r="AD125" s="6">
        <v>0.313965814130159</v>
      </c>
      <c r="AE125" s="6">
        <v>1.8738921245885</v>
      </c>
      <c r="AF125" s="6">
        <v>4.15</v>
      </c>
      <c r="AG125" s="6">
        <v>0.874384097970544</v>
      </c>
      <c r="AH125" s="6">
        <v>0.357071421427142</v>
      </c>
      <c r="AI125" s="6">
        <v>0.667850114465724</v>
      </c>
      <c r="AJ125" s="6">
        <v>100.47759489572</v>
      </c>
      <c r="AK125" s="6">
        <v>54.6229055</v>
      </c>
      <c r="AL125" s="6">
        <v>152.043909850595</v>
      </c>
      <c r="AM125" s="6">
        <v>99.7</v>
      </c>
      <c r="AN125" s="6">
        <v>5.8420452194353</v>
      </c>
      <c r="AO125" s="6">
        <v>6.8177295</v>
      </c>
      <c r="AP125" s="6">
        <v>0</v>
      </c>
      <c r="AQ125" s="6">
        <v>0</v>
      </c>
      <c r="AR125" s="6">
        <v>0.327171435806533</v>
      </c>
      <c r="AS125" s="6">
        <v>0</v>
      </c>
      <c r="AT125" s="6">
        <v>0</v>
      </c>
      <c r="AU125" s="6">
        <v>0.15193719929096</v>
      </c>
      <c r="AV125" s="6">
        <v>0</v>
      </c>
      <c r="AW125" s="6">
        <v>0</v>
      </c>
      <c r="AX125" s="6">
        <v>0.30134211192707</v>
      </c>
      <c r="AY125" s="6">
        <v>0</v>
      </c>
      <c r="AZ125" s="6">
        <v>0</v>
      </c>
      <c r="BA125" s="6">
        <v>0.219549252975437</v>
      </c>
      <c r="BB125" s="6">
        <v>0</v>
      </c>
      <c r="BC125" s="6">
        <v>0</v>
      </c>
      <c r="BD125" s="6">
        <v>0</v>
      </c>
      <c r="BE125" s="6">
        <v>0</v>
      </c>
      <c r="BF125" s="6">
        <v>0.15</v>
      </c>
      <c r="BG125" s="6">
        <v>0</v>
      </c>
      <c r="BH125" s="6">
        <v>0</v>
      </c>
      <c r="BI125" s="6">
        <v>0</v>
      </c>
      <c r="BJ125" s="6">
        <v>0.85</v>
      </c>
      <c r="BK125" s="6">
        <v>0</v>
      </c>
      <c r="BL125" s="6">
        <v>0</v>
      </c>
      <c r="BM125" s="6">
        <v>0</v>
      </c>
      <c r="BN125" s="6">
        <v>0</v>
      </c>
    </row>
    <row r="126" ht="17.1" customHeight="1" spans="1:66">
      <c r="A126" s="7">
        <v>27</v>
      </c>
      <c r="B126" s="7">
        <v>125</v>
      </c>
      <c r="C126" s="3" t="s">
        <v>202</v>
      </c>
      <c r="D126" s="8">
        <v>0.38</v>
      </c>
      <c r="E126" s="6">
        <v>2.309</v>
      </c>
      <c r="F126" s="6">
        <v>170</v>
      </c>
      <c r="G126" s="6">
        <f t="shared" si="3"/>
        <v>0.0135823529411765</v>
      </c>
      <c r="H126" s="6">
        <v>81</v>
      </c>
      <c r="I126" s="3" t="s">
        <v>67</v>
      </c>
      <c r="J126" s="3"/>
      <c r="K126" s="6">
        <v>1</v>
      </c>
      <c r="L126" s="6">
        <v>1</v>
      </c>
      <c r="M126" s="6">
        <v>1.344</v>
      </c>
      <c r="N126" s="6">
        <v>0.6048</v>
      </c>
      <c r="O126" s="6">
        <v>2.22222222222222</v>
      </c>
      <c r="P126" s="6">
        <v>0.7392</v>
      </c>
      <c r="Q126" s="6">
        <v>0.967827717266503</v>
      </c>
      <c r="R126" s="6">
        <v>0.432</v>
      </c>
      <c r="S126" s="6">
        <v>0.013404</v>
      </c>
      <c r="T126" s="6">
        <v>4.246e-5</v>
      </c>
      <c r="U126" s="6">
        <v>0.0861425930857518</v>
      </c>
      <c r="V126" s="6">
        <v>0.0107740307920932</v>
      </c>
      <c r="W126" s="6">
        <v>9.05361813991585</v>
      </c>
      <c r="X126" s="6">
        <v>0.930405468914102</v>
      </c>
      <c r="Y126" s="6">
        <v>9.98402360882995</v>
      </c>
      <c r="Z126" s="6">
        <v>1.229</v>
      </c>
      <c r="AA126" s="6">
        <v>1.5435</v>
      </c>
      <c r="AB126" s="6">
        <v>2.211</v>
      </c>
      <c r="AC126" s="6">
        <v>1.8965</v>
      </c>
      <c r="AD126" s="6">
        <v>0.3145</v>
      </c>
      <c r="AE126" s="6">
        <v>2</v>
      </c>
      <c r="AF126" s="6">
        <v>4</v>
      </c>
      <c r="AG126" s="6">
        <v>0.774596669241483</v>
      </c>
      <c r="AH126" s="6">
        <v>0.14142135623731</v>
      </c>
      <c r="AI126" s="6">
        <v>0.556776436283002</v>
      </c>
      <c r="AJ126" s="6">
        <v>104.639050784</v>
      </c>
      <c r="AK126" s="6">
        <v>48.3971737</v>
      </c>
      <c r="AL126" s="6">
        <v>142.09</v>
      </c>
      <c r="AM126" s="6">
        <v>99.6</v>
      </c>
      <c r="AN126" s="6">
        <v>6.005324868</v>
      </c>
      <c r="AO126" s="6">
        <v>6.838170781</v>
      </c>
      <c r="AP126" s="6">
        <v>0</v>
      </c>
      <c r="AQ126" s="6">
        <v>0</v>
      </c>
      <c r="AR126" s="6">
        <v>0.3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0.3</v>
      </c>
      <c r="AY126" s="6">
        <v>0</v>
      </c>
      <c r="AZ126" s="6">
        <v>0</v>
      </c>
      <c r="BA126" s="6">
        <v>0.4</v>
      </c>
      <c r="BB126" s="6">
        <v>0</v>
      </c>
      <c r="BC126" s="6">
        <v>0.01</v>
      </c>
      <c r="BD126" s="6">
        <v>0</v>
      </c>
      <c r="BE126" s="6">
        <v>0</v>
      </c>
      <c r="BF126" s="6">
        <v>0.01</v>
      </c>
      <c r="BG126" s="6">
        <v>0</v>
      </c>
      <c r="BH126" s="6">
        <v>0</v>
      </c>
      <c r="BI126" s="6">
        <v>0</v>
      </c>
      <c r="BJ126" s="6">
        <v>0.98</v>
      </c>
      <c r="BK126" s="6">
        <v>0</v>
      </c>
      <c r="BL126" s="6">
        <v>0</v>
      </c>
      <c r="BM126" s="6">
        <v>0</v>
      </c>
      <c r="BN126" s="6">
        <v>0</v>
      </c>
    </row>
    <row r="127" ht="34.2" customHeight="1" spans="1:66">
      <c r="A127" s="7">
        <v>26</v>
      </c>
      <c r="B127" s="7">
        <v>124</v>
      </c>
      <c r="C127" s="3" t="s">
        <v>203</v>
      </c>
      <c r="D127" s="8">
        <v>0.385</v>
      </c>
      <c r="E127" s="6">
        <v>2.438</v>
      </c>
      <c r="F127" s="6">
        <v>230</v>
      </c>
      <c r="G127" s="6">
        <f t="shared" si="3"/>
        <v>0.0106</v>
      </c>
      <c r="H127" s="6">
        <v>90.4</v>
      </c>
      <c r="I127" s="3" t="s">
        <v>170</v>
      </c>
      <c r="J127" s="3" t="s">
        <v>204</v>
      </c>
      <c r="K127" s="6">
        <v>1</v>
      </c>
      <c r="L127" s="6">
        <v>0.984</v>
      </c>
      <c r="M127" s="6">
        <v>1.344</v>
      </c>
      <c r="N127" s="6">
        <v>0.607276422764228</v>
      </c>
      <c r="O127" s="6">
        <v>2.21316018475132</v>
      </c>
      <c r="P127" s="6">
        <v>0.736723577235772</v>
      </c>
      <c r="Q127" s="6">
        <v>0.966633686108807</v>
      </c>
      <c r="R127" s="6">
        <v>0.43376887340302</v>
      </c>
      <c r="S127" s="6">
        <v>0.013404</v>
      </c>
      <c r="T127" s="6">
        <v>7.44926961464738e-5</v>
      </c>
      <c r="U127" s="6">
        <v>0.0861425930857518</v>
      </c>
      <c r="V127" s="6">
        <v>0.0142124983220727</v>
      </c>
      <c r="W127" s="6">
        <v>9.05361813991585</v>
      </c>
      <c r="X127" s="6">
        <v>2.00060494644836</v>
      </c>
      <c r="Y127" s="6">
        <v>11.0542230863642</v>
      </c>
      <c r="Z127" s="6">
        <v>1.229</v>
      </c>
      <c r="AA127" s="6">
        <v>1.53739837398374</v>
      </c>
      <c r="AB127" s="6">
        <v>2.211</v>
      </c>
      <c r="AC127" s="6">
        <v>1.90260162601626</v>
      </c>
      <c r="AD127" s="6">
        <v>0.30839837398374</v>
      </c>
      <c r="AE127" s="6">
        <v>2</v>
      </c>
      <c r="AF127" s="6">
        <v>4.0650406504065</v>
      </c>
      <c r="AG127" s="6">
        <v>0.774596669241483</v>
      </c>
      <c r="AH127" s="6">
        <v>0.246597575416311</v>
      </c>
      <c r="AI127" s="6">
        <v>0.574808822218833</v>
      </c>
      <c r="AJ127" s="6">
        <v>104.639050784</v>
      </c>
      <c r="AK127" s="6">
        <v>56.5226669918699</v>
      </c>
      <c r="AL127" s="6">
        <v>142.09</v>
      </c>
      <c r="AM127" s="6">
        <v>98.3089430894309</v>
      </c>
      <c r="AN127" s="6">
        <v>6.005324868</v>
      </c>
      <c r="AO127" s="6">
        <v>6.87504364227642</v>
      </c>
      <c r="AP127" s="6">
        <v>0</v>
      </c>
      <c r="AQ127" s="6">
        <v>0</v>
      </c>
      <c r="AR127" s="6">
        <v>0.3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0.3</v>
      </c>
      <c r="AY127" s="6">
        <v>0</v>
      </c>
      <c r="AZ127" s="6">
        <v>0</v>
      </c>
      <c r="BA127" s="6">
        <v>0.4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0.0650406504065041</v>
      </c>
      <c r="BJ127" s="6">
        <v>0.934959349593496</v>
      </c>
      <c r="BK127" s="6">
        <v>0</v>
      </c>
      <c r="BL127" s="6">
        <v>0</v>
      </c>
      <c r="BM127" s="6">
        <v>0</v>
      </c>
      <c r="BN127" s="6">
        <v>0</v>
      </c>
    </row>
    <row r="128" ht="34.2" customHeight="1" spans="1:66">
      <c r="A128" s="7">
        <v>25</v>
      </c>
      <c r="B128" s="7">
        <v>123</v>
      </c>
      <c r="C128" s="3" t="s">
        <v>205</v>
      </c>
      <c r="D128" s="8">
        <v>0.39</v>
      </c>
      <c r="E128" s="6">
        <v>2.397</v>
      </c>
      <c r="F128" s="6">
        <v>280</v>
      </c>
      <c r="G128" s="6">
        <f t="shared" si="3"/>
        <v>0.00856071428571428</v>
      </c>
      <c r="H128" s="6">
        <v>91</v>
      </c>
      <c r="I128" s="3" t="s">
        <v>170</v>
      </c>
      <c r="J128" s="3" t="s">
        <v>206</v>
      </c>
      <c r="K128" s="6">
        <v>0.988</v>
      </c>
      <c r="L128" s="6">
        <v>1</v>
      </c>
      <c r="M128" s="6">
        <v>1.41093117408907</v>
      </c>
      <c r="N128" s="6">
        <v>0.6188</v>
      </c>
      <c r="O128" s="6">
        <v>2.2801085554122</v>
      </c>
      <c r="P128" s="6">
        <v>0.792131174089069</v>
      </c>
      <c r="Q128" s="6">
        <v>0.984559389066299</v>
      </c>
      <c r="R128" s="6">
        <v>0.442</v>
      </c>
      <c r="S128" s="6">
        <v>0.0341473110524677</v>
      </c>
      <c r="T128" s="6">
        <v>0.00139656</v>
      </c>
      <c r="U128" s="6">
        <v>0.130970180526435</v>
      </c>
      <c r="V128" s="6">
        <v>0.0603920114113209</v>
      </c>
      <c r="W128" s="6">
        <v>9.03746616598984</v>
      </c>
      <c r="X128" s="6">
        <v>3.05078412360315</v>
      </c>
      <c r="Y128" s="6">
        <v>12.088250289593</v>
      </c>
      <c r="Z128" s="6">
        <v>1.21423076923077</v>
      </c>
      <c r="AA128" s="6">
        <v>1.5148</v>
      </c>
      <c r="AB128" s="6">
        <v>2.22576923076923</v>
      </c>
      <c r="AC128" s="6">
        <v>1.9252</v>
      </c>
      <c r="AD128" s="6">
        <v>0.300569230769231</v>
      </c>
      <c r="AE128" s="6">
        <v>2.02429149797571</v>
      </c>
      <c r="AF128" s="6">
        <v>4</v>
      </c>
      <c r="AG128" s="6">
        <v>0.7710717369551</v>
      </c>
      <c r="AH128" s="6">
        <v>0</v>
      </c>
      <c r="AI128" s="6">
        <v>0.545230053982241</v>
      </c>
      <c r="AJ128" s="6">
        <v>126.884531717571</v>
      </c>
      <c r="AK128" s="6">
        <v>53.06984</v>
      </c>
      <c r="AL128" s="6">
        <v>171.426518218623</v>
      </c>
      <c r="AM128" s="6">
        <v>101.44</v>
      </c>
      <c r="AN128" s="6">
        <v>5.83325246834008</v>
      </c>
      <c r="AO128" s="6">
        <v>6.80484072</v>
      </c>
      <c r="AP128" s="6">
        <v>0</v>
      </c>
      <c r="AQ128" s="6">
        <v>0.404858299595142</v>
      </c>
      <c r="AR128" s="6">
        <v>0.309716599190283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0.285425101214575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0.88</v>
      </c>
      <c r="BK128" s="6">
        <v>0</v>
      </c>
      <c r="BL128" s="6">
        <v>0</v>
      </c>
      <c r="BM128" s="6">
        <v>0</v>
      </c>
      <c r="BN128" s="6">
        <v>0.12</v>
      </c>
    </row>
    <row r="129" ht="51.25" customHeight="1" spans="1:66">
      <c r="A129" s="7">
        <v>24</v>
      </c>
      <c r="B129" s="7">
        <v>122</v>
      </c>
      <c r="C129" s="3" t="s">
        <v>207</v>
      </c>
      <c r="D129" s="8">
        <v>0.396</v>
      </c>
      <c r="E129" s="6">
        <v>2.424</v>
      </c>
      <c r="F129" s="6">
        <v>240</v>
      </c>
      <c r="G129" s="6">
        <f t="shared" si="3"/>
        <v>0.0101</v>
      </c>
      <c r="H129" s="6">
        <v>70.08</v>
      </c>
      <c r="I129" s="3" t="s">
        <v>67</v>
      </c>
      <c r="J129" s="3"/>
      <c r="K129" s="6">
        <v>1</v>
      </c>
      <c r="L129" s="6">
        <v>1</v>
      </c>
      <c r="M129" s="6">
        <v>1.33056</v>
      </c>
      <c r="N129" s="6">
        <v>0.613</v>
      </c>
      <c r="O129" s="6">
        <v>2.17057096247961</v>
      </c>
      <c r="P129" s="6">
        <v>0.71756</v>
      </c>
      <c r="Q129" s="6">
        <v>0.959164179054515</v>
      </c>
      <c r="R129" s="6">
        <v>0.437857142857143</v>
      </c>
      <c r="S129" s="6">
        <v>0.0128136864</v>
      </c>
      <c r="T129" s="6">
        <v>0.000754</v>
      </c>
      <c r="U129" s="6">
        <v>0.0850751223123405</v>
      </c>
      <c r="V129" s="6">
        <v>0.0447945520970505</v>
      </c>
      <c r="W129" s="6">
        <v>10.7019714836584</v>
      </c>
      <c r="X129" s="6">
        <v>2.7788692263875</v>
      </c>
      <c r="Y129" s="6">
        <v>13.4808407100459</v>
      </c>
      <c r="Z129" s="6">
        <v>1.26146</v>
      </c>
      <c r="AA129" s="6">
        <v>1.5476</v>
      </c>
      <c r="AB129" s="6">
        <v>2.17854</v>
      </c>
      <c r="AC129" s="6">
        <v>1.8924</v>
      </c>
      <c r="AD129" s="6">
        <v>0.28614</v>
      </c>
      <c r="AE129" s="6">
        <v>2.08</v>
      </c>
      <c r="AF129" s="6">
        <v>3.92</v>
      </c>
      <c r="AG129" s="6">
        <v>0.847112743381895</v>
      </c>
      <c r="AH129" s="6">
        <v>0.391918358845309</v>
      </c>
      <c r="AI129" s="6">
        <v>0.66</v>
      </c>
      <c r="AJ129" s="6">
        <v>109.98995210816</v>
      </c>
      <c r="AK129" s="6">
        <v>49.75824</v>
      </c>
      <c r="AL129" s="6">
        <v>139.4726</v>
      </c>
      <c r="AM129" s="6">
        <v>96.968</v>
      </c>
      <c r="AN129" s="6">
        <v>6.01865434932</v>
      </c>
      <c r="AO129" s="6">
        <v>6.88147656</v>
      </c>
      <c r="AP129" s="6">
        <v>0</v>
      </c>
      <c r="AQ129" s="6">
        <v>0</v>
      </c>
      <c r="AR129" s="6">
        <v>0.322</v>
      </c>
      <c r="AS129" s="6">
        <v>0</v>
      </c>
      <c r="AT129" s="6">
        <v>0</v>
      </c>
      <c r="AU129" s="6">
        <v>0</v>
      </c>
      <c r="AV129" s="6">
        <v>0.08</v>
      </c>
      <c r="AW129" s="6">
        <v>0</v>
      </c>
      <c r="AX129" s="6">
        <v>0.322</v>
      </c>
      <c r="AY129" s="6">
        <v>0</v>
      </c>
      <c r="AZ129" s="6">
        <v>0</v>
      </c>
      <c r="BA129" s="6">
        <v>0.276</v>
      </c>
      <c r="BB129" s="6">
        <v>0</v>
      </c>
      <c r="BC129" s="6">
        <v>0</v>
      </c>
      <c r="BD129" s="6">
        <v>0</v>
      </c>
      <c r="BE129" s="6">
        <v>0.04</v>
      </c>
      <c r="BF129" s="6">
        <v>0</v>
      </c>
      <c r="BG129" s="6">
        <v>0</v>
      </c>
      <c r="BH129" s="6">
        <v>0.04</v>
      </c>
      <c r="BI129" s="6">
        <v>0</v>
      </c>
      <c r="BJ129" s="6">
        <v>0.92</v>
      </c>
      <c r="BK129" s="6">
        <v>0</v>
      </c>
      <c r="BL129" s="6">
        <v>0</v>
      </c>
      <c r="BM129" s="6">
        <v>0</v>
      </c>
      <c r="BN129" s="6">
        <v>0</v>
      </c>
    </row>
    <row r="130" ht="34.2" customHeight="1" spans="1:66">
      <c r="A130" s="7">
        <v>23</v>
      </c>
      <c r="B130" s="7">
        <v>121</v>
      </c>
      <c r="C130" s="3" t="s">
        <v>208</v>
      </c>
      <c r="D130" s="8">
        <v>0.401</v>
      </c>
      <c r="E130" s="6">
        <v>2.471</v>
      </c>
      <c r="F130" s="6">
        <v>210</v>
      </c>
      <c r="G130" s="6">
        <f t="shared" si="3"/>
        <v>0.0117666666666667</v>
      </c>
      <c r="H130" s="6">
        <v>76</v>
      </c>
      <c r="I130" s="3" t="s">
        <v>67</v>
      </c>
      <c r="J130" s="3"/>
      <c r="K130" s="6">
        <v>1</v>
      </c>
      <c r="L130" s="6">
        <v>1</v>
      </c>
      <c r="M130" s="6">
        <v>1.2842</v>
      </c>
      <c r="N130" s="6">
        <v>0.62225</v>
      </c>
      <c r="O130" s="6">
        <v>2.063800723182</v>
      </c>
      <c r="P130" s="6">
        <v>0.66195</v>
      </c>
      <c r="Q130" s="6">
        <v>0.938566459172175</v>
      </c>
      <c r="R130" s="6">
        <v>0.444464285714286</v>
      </c>
      <c r="S130" s="6">
        <v>0.01148736</v>
      </c>
      <c r="T130" s="6">
        <v>0.0016861875</v>
      </c>
      <c r="U130" s="6">
        <v>0.0834598212433638</v>
      </c>
      <c r="V130" s="6">
        <v>0.0659915041609022</v>
      </c>
      <c r="W130" s="6">
        <v>7.46859762181706</v>
      </c>
      <c r="X130" s="6">
        <v>3.51459890891657</v>
      </c>
      <c r="Y130" s="6">
        <v>10.9831965307336</v>
      </c>
      <c r="Z130" s="6">
        <v>1.38595</v>
      </c>
      <c r="AA130" s="6">
        <v>1.5085</v>
      </c>
      <c r="AB130" s="6">
        <v>2.05405</v>
      </c>
      <c r="AC130" s="6">
        <v>1.9315</v>
      </c>
      <c r="AD130" s="6">
        <v>0.12255</v>
      </c>
      <c r="AE130" s="6">
        <v>2</v>
      </c>
      <c r="AF130" s="6">
        <v>4</v>
      </c>
      <c r="AG130" s="6">
        <v>0.964365076099296</v>
      </c>
      <c r="AH130" s="6">
        <v>0</v>
      </c>
      <c r="AI130" s="6">
        <v>0.681909084849293</v>
      </c>
      <c r="AJ130" s="6">
        <v>110.6715887152</v>
      </c>
      <c r="AK130" s="6">
        <v>54.37055</v>
      </c>
      <c r="AL130" s="6">
        <v>109.2315</v>
      </c>
      <c r="AM130" s="6">
        <v>101.8</v>
      </c>
      <c r="AN130" s="6">
        <v>6.2053566093</v>
      </c>
      <c r="AO130" s="6">
        <v>6.7990209</v>
      </c>
      <c r="AP130" s="6">
        <v>0</v>
      </c>
      <c r="AQ130" s="6">
        <v>0</v>
      </c>
      <c r="AR130" s="6">
        <v>0.465</v>
      </c>
      <c r="AS130" s="6">
        <v>0.07</v>
      </c>
      <c r="AT130" s="6">
        <v>0</v>
      </c>
      <c r="AU130" s="6">
        <v>0</v>
      </c>
      <c r="AV130" s="6">
        <v>0</v>
      </c>
      <c r="AW130" s="6">
        <v>0</v>
      </c>
      <c r="AX130" s="6">
        <v>0.465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0.85</v>
      </c>
      <c r="BK130" s="6">
        <v>0</v>
      </c>
      <c r="BL130" s="6">
        <v>0</v>
      </c>
      <c r="BM130" s="6">
        <v>0</v>
      </c>
      <c r="BN130" s="6">
        <v>0.15</v>
      </c>
    </row>
    <row r="131" ht="34.2" customHeight="1" spans="1:66">
      <c r="A131" s="7">
        <v>22</v>
      </c>
      <c r="B131" s="7">
        <v>120</v>
      </c>
      <c r="C131" s="3" t="s">
        <v>209</v>
      </c>
      <c r="D131" s="8">
        <v>0.406</v>
      </c>
      <c r="E131" s="6">
        <v>2.484</v>
      </c>
      <c r="F131" s="6">
        <v>280</v>
      </c>
      <c r="G131" s="6">
        <f t="shared" ref="G131:G149" si="4">E131/F131</f>
        <v>0.00887142857142857</v>
      </c>
      <c r="H131" s="6">
        <v>89.3</v>
      </c>
      <c r="I131" s="3" t="s">
        <v>170</v>
      </c>
      <c r="J131" s="3" t="s">
        <v>210</v>
      </c>
      <c r="K131" s="6">
        <v>0.955</v>
      </c>
      <c r="L131" s="6">
        <v>1</v>
      </c>
      <c r="M131" s="6">
        <v>1.34031413612565</v>
      </c>
      <c r="N131" s="6">
        <v>0.61265</v>
      </c>
      <c r="O131" s="6">
        <v>2.18773220619547</v>
      </c>
      <c r="P131" s="6">
        <v>0.727664136125654</v>
      </c>
      <c r="Q131" s="6">
        <v>0.962757910335034</v>
      </c>
      <c r="R131" s="6">
        <v>0.437607142857143</v>
      </c>
      <c r="S131" s="6">
        <v>0.0123779117896988</v>
      </c>
      <c r="T131" s="6">
        <v>0.000591727499999999</v>
      </c>
      <c r="U131" s="6">
        <v>0.0830074540433437</v>
      </c>
      <c r="V131" s="6">
        <v>0.0397052960681174</v>
      </c>
      <c r="W131" s="6">
        <v>10.8537863454956</v>
      </c>
      <c r="X131" s="6">
        <v>2.51543942072161</v>
      </c>
      <c r="Y131" s="6">
        <v>13.3692257662172</v>
      </c>
      <c r="Z131" s="6">
        <v>1.23193717277487</v>
      </c>
      <c r="AA131" s="6">
        <v>1.5778</v>
      </c>
      <c r="AB131" s="6">
        <v>2.20806282722513</v>
      </c>
      <c r="AC131" s="6">
        <v>1.8622</v>
      </c>
      <c r="AD131" s="6">
        <v>0.345862827225131</v>
      </c>
      <c r="AE131" s="6">
        <v>2.09424083769633</v>
      </c>
      <c r="AF131" s="6">
        <v>4</v>
      </c>
      <c r="AG131" s="6">
        <v>0.813188620538384</v>
      </c>
      <c r="AH131" s="6">
        <v>0</v>
      </c>
      <c r="AI131" s="6">
        <v>0.575011187966426</v>
      </c>
      <c r="AJ131" s="6">
        <v>108.789098274346</v>
      </c>
      <c r="AK131" s="6">
        <v>54.24287</v>
      </c>
      <c r="AL131" s="6">
        <v>145.979581151832</v>
      </c>
      <c r="AM131" s="6">
        <v>95.77</v>
      </c>
      <c r="AN131" s="6">
        <v>5.98174587513089</v>
      </c>
      <c r="AO131" s="6">
        <v>6.87454182</v>
      </c>
      <c r="AP131" s="6">
        <v>0</v>
      </c>
      <c r="AQ131" s="6">
        <v>0</v>
      </c>
      <c r="AR131" s="6">
        <v>0.287958115183246</v>
      </c>
      <c r="AS131" s="6">
        <v>0</v>
      </c>
      <c r="AT131" s="6">
        <v>0</v>
      </c>
      <c r="AU131" s="6">
        <v>0</v>
      </c>
      <c r="AV131" s="6">
        <v>0.0942408376963351</v>
      </c>
      <c r="AW131" s="6">
        <v>0</v>
      </c>
      <c r="AX131" s="6">
        <v>0.287958115183246</v>
      </c>
      <c r="AY131" s="6">
        <v>0</v>
      </c>
      <c r="AZ131" s="6">
        <v>0</v>
      </c>
      <c r="BA131" s="6">
        <v>0.329842931937173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0.09</v>
      </c>
      <c r="BI131" s="6">
        <v>0</v>
      </c>
      <c r="BJ131" s="6">
        <v>0.91</v>
      </c>
      <c r="BK131" s="6">
        <v>0</v>
      </c>
      <c r="BL131" s="6">
        <v>0</v>
      </c>
      <c r="BM131" s="6">
        <v>0</v>
      </c>
      <c r="BN131" s="6">
        <v>0</v>
      </c>
    </row>
    <row r="132" ht="51.25" customHeight="1" spans="1:66">
      <c r="A132" s="7">
        <v>20</v>
      </c>
      <c r="B132" s="7">
        <v>119</v>
      </c>
      <c r="C132" s="3" t="s">
        <v>211</v>
      </c>
      <c r="D132" s="8">
        <v>0.411</v>
      </c>
      <c r="E132" s="6">
        <v>2.608</v>
      </c>
      <c r="F132" s="6">
        <v>215</v>
      </c>
      <c r="G132" s="6">
        <f t="shared" si="4"/>
        <v>0.0121302325581395</v>
      </c>
      <c r="H132" s="6">
        <v>83.2</v>
      </c>
      <c r="I132" s="3" t="s">
        <v>67</v>
      </c>
      <c r="J132" s="3"/>
      <c r="K132" s="6">
        <v>1</v>
      </c>
      <c r="L132" s="6">
        <v>1</v>
      </c>
      <c r="M132" s="6">
        <v>1.344</v>
      </c>
      <c r="N132" s="6">
        <v>0.6118</v>
      </c>
      <c r="O132" s="6">
        <v>2.19679633867277</v>
      </c>
      <c r="P132" s="6">
        <v>0.7322</v>
      </c>
      <c r="Q132" s="6">
        <v>0.964460188674762</v>
      </c>
      <c r="R132" s="6">
        <v>0.437</v>
      </c>
      <c r="S132" s="6">
        <v>0.013404</v>
      </c>
      <c r="T132" s="6">
        <v>0.00053176</v>
      </c>
      <c r="U132" s="6">
        <v>0.0861425930857518</v>
      </c>
      <c r="V132" s="6">
        <v>0.0376919286411015</v>
      </c>
      <c r="W132" s="6">
        <v>9.05361813991585</v>
      </c>
      <c r="X132" s="6">
        <v>2.31781752065598</v>
      </c>
      <c r="Y132" s="6">
        <v>11.3714356605718</v>
      </c>
      <c r="Z132" s="6">
        <v>1.229</v>
      </c>
      <c r="AA132" s="6">
        <v>1.5736</v>
      </c>
      <c r="AB132" s="6">
        <v>2.211</v>
      </c>
      <c r="AC132" s="6">
        <v>1.8664</v>
      </c>
      <c r="AD132" s="6">
        <v>0.3446</v>
      </c>
      <c r="AE132" s="6">
        <v>2</v>
      </c>
      <c r="AF132" s="6">
        <v>4</v>
      </c>
      <c r="AG132" s="6">
        <v>0.774596669241483</v>
      </c>
      <c r="AH132" s="6">
        <v>0</v>
      </c>
      <c r="AI132" s="6">
        <v>0.547722557505166</v>
      </c>
      <c r="AJ132" s="6">
        <v>104.639050784</v>
      </c>
      <c r="AK132" s="6">
        <v>53.53444</v>
      </c>
      <c r="AL132" s="6">
        <v>142.09</v>
      </c>
      <c r="AM132" s="6">
        <v>96.24</v>
      </c>
      <c r="AN132" s="6">
        <v>6.005324868</v>
      </c>
      <c r="AO132" s="6">
        <v>6.86938384</v>
      </c>
      <c r="AP132" s="6">
        <v>0</v>
      </c>
      <c r="AQ132" s="6">
        <v>0</v>
      </c>
      <c r="AR132" s="6">
        <v>0.3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0.3</v>
      </c>
      <c r="AY132" s="6">
        <v>0</v>
      </c>
      <c r="AZ132" s="6">
        <v>0</v>
      </c>
      <c r="BA132" s="6">
        <v>0.4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0.08</v>
      </c>
      <c r="BI132" s="6">
        <v>0</v>
      </c>
      <c r="BJ132" s="6">
        <v>0.92</v>
      </c>
      <c r="BK132" s="6">
        <v>0</v>
      </c>
      <c r="BL132" s="6">
        <v>0</v>
      </c>
      <c r="BM132" s="6">
        <v>0</v>
      </c>
      <c r="BN132" s="6">
        <v>0</v>
      </c>
    </row>
    <row r="133" ht="51.25" customHeight="1" spans="1:66">
      <c r="A133" s="7">
        <v>19</v>
      </c>
      <c r="B133" s="7">
        <v>118</v>
      </c>
      <c r="C133" s="3" t="s">
        <v>212</v>
      </c>
      <c r="D133" s="8">
        <v>0.417</v>
      </c>
      <c r="E133" s="6">
        <v>2.273</v>
      </c>
      <c r="F133" s="6">
        <v>170</v>
      </c>
      <c r="G133" s="6">
        <f t="shared" si="4"/>
        <v>0.0133705882352941</v>
      </c>
      <c r="H133" s="6">
        <v>81.18</v>
      </c>
      <c r="I133" s="3" t="s">
        <v>67</v>
      </c>
      <c r="J133" s="3"/>
      <c r="K133" s="6">
        <v>1</v>
      </c>
      <c r="L133" s="6">
        <v>1</v>
      </c>
      <c r="M133" s="6">
        <v>1.3338296</v>
      </c>
      <c r="N133" s="6">
        <v>0.6092</v>
      </c>
      <c r="O133" s="6">
        <v>2.18947734734077</v>
      </c>
      <c r="P133" s="6">
        <v>0.7246296</v>
      </c>
      <c r="Q133" s="6">
        <v>0.962128931300272</v>
      </c>
      <c r="R133" s="6">
        <v>0.435142857142857</v>
      </c>
      <c r="S133" s="6">
        <v>0.02113015816384</v>
      </c>
      <c r="T133" s="6">
        <v>0.00012936</v>
      </c>
      <c r="U133" s="6">
        <v>0.108981058808023</v>
      </c>
      <c r="V133" s="6">
        <v>0.0186698190520196</v>
      </c>
      <c r="W133" s="6">
        <v>8.42638297127317</v>
      </c>
      <c r="X133" s="6">
        <v>3.05078412360315</v>
      </c>
      <c r="Y133" s="6">
        <v>11.4771670948763</v>
      </c>
      <c r="Z133" s="6">
        <v>1.2897176</v>
      </c>
      <c r="AA133" s="6">
        <v>1.5472</v>
      </c>
      <c r="AB133" s="6">
        <v>2.1502824</v>
      </c>
      <c r="AC133" s="6">
        <v>1.8928</v>
      </c>
      <c r="AD133" s="6">
        <v>0.2574824</v>
      </c>
      <c r="AE133" s="6">
        <v>1.88792</v>
      </c>
      <c r="AF133" s="6">
        <v>4.12</v>
      </c>
      <c r="AG133" s="6">
        <v>0.929170637504221</v>
      </c>
      <c r="AH133" s="6">
        <v>0.324961536185438</v>
      </c>
      <c r="AI133" s="6">
        <v>0.696045283584337</v>
      </c>
      <c r="AJ133" s="6">
        <v>107.74600098432</v>
      </c>
      <c r="AK133" s="6">
        <v>53.2717244</v>
      </c>
      <c r="AL133" s="6">
        <v>133.5962</v>
      </c>
      <c r="AM133" s="6">
        <v>99.76</v>
      </c>
      <c r="AN133" s="6">
        <v>5.954848624048</v>
      </c>
      <c r="AO133" s="6">
        <v>6.8198076</v>
      </c>
      <c r="AP133" s="6">
        <v>0</v>
      </c>
      <c r="AQ133" s="6">
        <v>0.12408</v>
      </c>
      <c r="AR133" s="6">
        <v>0.374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0.494</v>
      </c>
      <c r="AY133" s="6">
        <v>0</v>
      </c>
      <c r="AZ133" s="6">
        <v>0.00792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0.12</v>
      </c>
      <c r="BG133" s="6">
        <v>0</v>
      </c>
      <c r="BH133" s="6">
        <v>0</v>
      </c>
      <c r="BI133" s="6">
        <v>0</v>
      </c>
      <c r="BJ133" s="6">
        <v>0.88</v>
      </c>
      <c r="BK133" s="6">
        <v>0</v>
      </c>
      <c r="BL133" s="6">
        <v>0</v>
      </c>
      <c r="BM133" s="6">
        <v>0</v>
      </c>
      <c r="BN133" s="6">
        <v>0</v>
      </c>
    </row>
    <row r="134" ht="34.2" customHeight="1" spans="1:66">
      <c r="A134" s="7">
        <v>18</v>
      </c>
      <c r="B134" s="7">
        <v>117</v>
      </c>
      <c r="C134" s="3" t="s">
        <v>213</v>
      </c>
      <c r="D134" s="8">
        <v>0.422</v>
      </c>
      <c r="E134" s="6">
        <v>2.117</v>
      </c>
      <c r="F134" s="6">
        <v>195</v>
      </c>
      <c r="G134" s="6">
        <f t="shared" si="4"/>
        <v>0.0108564102564103</v>
      </c>
      <c r="H134" s="6">
        <v>71.04</v>
      </c>
      <c r="I134" s="3" t="s">
        <v>67</v>
      </c>
      <c r="J134" s="3"/>
      <c r="K134" s="6">
        <v>1</v>
      </c>
      <c r="L134" s="6">
        <v>1</v>
      </c>
      <c r="M134" s="6">
        <v>1.346</v>
      </c>
      <c r="N134" s="6">
        <v>0.622</v>
      </c>
      <c r="O134" s="6">
        <v>2.16398713826367</v>
      </c>
      <c r="P134" s="6">
        <v>0.724</v>
      </c>
      <c r="Q134" s="6">
        <v>0.960294372471938</v>
      </c>
      <c r="R134" s="6">
        <v>0.444285714285714</v>
      </c>
      <c r="S134" s="6">
        <v>0.027104</v>
      </c>
      <c r="T134" s="6">
        <v>0.001156</v>
      </c>
      <c r="U134" s="6">
        <v>0.122312722896028</v>
      </c>
      <c r="V134" s="6">
        <v>0.0546623794212219</v>
      </c>
      <c r="W134" s="6">
        <v>8.77109430185673</v>
      </c>
      <c r="X134" s="6">
        <v>4.16057724454155</v>
      </c>
      <c r="Y134" s="6">
        <v>12.9316715463983</v>
      </c>
      <c r="Z134" s="6">
        <v>1.31</v>
      </c>
      <c r="AA134" s="6">
        <v>1.624</v>
      </c>
      <c r="AB134" s="6">
        <v>2.13</v>
      </c>
      <c r="AC134" s="6">
        <v>1.816</v>
      </c>
      <c r="AD134" s="6">
        <v>0.314</v>
      </c>
      <c r="AE134" s="6">
        <v>2</v>
      </c>
      <c r="AF134" s="6">
        <v>4</v>
      </c>
      <c r="AG134" s="6">
        <v>0.894427190999916</v>
      </c>
      <c r="AH134" s="6">
        <v>0</v>
      </c>
      <c r="AI134" s="6">
        <v>0.632455532033676</v>
      </c>
      <c r="AJ134" s="6">
        <v>120.253467712</v>
      </c>
      <c r="AK134" s="6">
        <v>62.0356</v>
      </c>
      <c r="AL134" s="6">
        <v>138.68</v>
      </c>
      <c r="AM134" s="6">
        <v>90.6</v>
      </c>
      <c r="AN134" s="6">
        <v>6.012170104</v>
      </c>
      <c r="AO134" s="6">
        <v>6.9312796</v>
      </c>
      <c r="AP134" s="6">
        <v>0</v>
      </c>
      <c r="AQ134" s="6">
        <v>0.2</v>
      </c>
      <c r="AR134" s="6">
        <v>0.4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0.4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0.2</v>
      </c>
      <c r="BI134" s="6">
        <v>0</v>
      </c>
      <c r="BJ134" s="6">
        <v>0.8</v>
      </c>
      <c r="BK134" s="6">
        <v>0</v>
      </c>
      <c r="BL134" s="6">
        <v>0</v>
      </c>
      <c r="BM134" s="6">
        <v>0</v>
      </c>
      <c r="BN134" s="6">
        <v>0</v>
      </c>
    </row>
    <row r="135" ht="34.2" customHeight="1" spans="1:66">
      <c r="A135" s="7">
        <v>17</v>
      </c>
      <c r="B135" s="7">
        <v>116</v>
      </c>
      <c r="C135" s="3" t="s">
        <v>214</v>
      </c>
      <c r="D135" s="8">
        <v>0.427</v>
      </c>
      <c r="E135" s="6">
        <v>1.989</v>
      </c>
      <c r="F135" s="6">
        <v>140</v>
      </c>
      <c r="G135" s="6">
        <f t="shared" si="4"/>
        <v>0.0142071428571429</v>
      </c>
      <c r="H135" s="6">
        <v>67</v>
      </c>
      <c r="I135" s="3" t="s">
        <v>170</v>
      </c>
      <c r="J135" s="3" t="s">
        <v>206</v>
      </c>
      <c r="K135" s="6">
        <v>0.988</v>
      </c>
      <c r="L135" s="6">
        <v>1</v>
      </c>
      <c r="M135" s="6">
        <v>1.30921052631579</v>
      </c>
      <c r="N135" s="6">
        <v>0.6085</v>
      </c>
      <c r="O135" s="6">
        <v>2.15153743026424</v>
      </c>
      <c r="P135" s="6">
        <v>0.700710526315789</v>
      </c>
      <c r="Q135" s="6">
        <v>0.953796930455499</v>
      </c>
      <c r="R135" s="6">
        <v>0.434642857142857</v>
      </c>
      <c r="S135" s="6">
        <v>0.0209987694438525</v>
      </c>
      <c r="T135" s="6">
        <v>0.00011025</v>
      </c>
      <c r="U135" s="6">
        <v>0.110684659697473</v>
      </c>
      <c r="V135" s="6">
        <v>0.0172555464256369</v>
      </c>
      <c r="W135" s="6">
        <v>7.6628157160339</v>
      </c>
      <c r="X135" s="6">
        <v>2.7028902300613</v>
      </c>
      <c r="Y135" s="6">
        <v>10.3657059460952</v>
      </c>
      <c r="Z135" s="6">
        <v>1.36856275303644</v>
      </c>
      <c r="AA135" s="6">
        <v>1.546</v>
      </c>
      <c r="AB135" s="6">
        <v>2.07143724696356</v>
      </c>
      <c r="AC135" s="6">
        <v>1.894</v>
      </c>
      <c r="AD135" s="6">
        <v>0.177437246963563</v>
      </c>
      <c r="AE135" s="6">
        <v>1.92307692307692</v>
      </c>
      <c r="AF135" s="6">
        <v>4.1</v>
      </c>
      <c r="AG135" s="6">
        <v>0.997037030524286</v>
      </c>
      <c r="AH135" s="6">
        <v>0.3</v>
      </c>
      <c r="AI135" s="6">
        <v>0.736234623009773</v>
      </c>
      <c r="AJ135" s="6">
        <v>110.168541676113</v>
      </c>
      <c r="AK135" s="6">
        <v>52.370937</v>
      </c>
      <c r="AL135" s="6">
        <v>120.302024291498</v>
      </c>
      <c r="AM135" s="6">
        <v>99.8</v>
      </c>
      <c r="AN135" s="6">
        <v>6.06347606665992</v>
      </c>
      <c r="AO135" s="6">
        <v>6.821193</v>
      </c>
      <c r="AP135" s="6">
        <v>0</v>
      </c>
      <c r="AQ135" s="6">
        <v>0</v>
      </c>
      <c r="AR135" s="6">
        <v>0.461538461538462</v>
      </c>
      <c r="AS135" s="6">
        <v>0</v>
      </c>
      <c r="AT135" s="6">
        <v>0</v>
      </c>
      <c r="AU135" s="6">
        <v>0.0829959514170041</v>
      </c>
      <c r="AV135" s="6">
        <v>0</v>
      </c>
      <c r="AW135" s="6">
        <v>0</v>
      </c>
      <c r="AX135" s="6">
        <v>0.455465587044534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0.1</v>
      </c>
      <c r="BG135" s="6">
        <v>0</v>
      </c>
      <c r="BH135" s="6">
        <v>0</v>
      </c>
      <c r="BI135" s="6">
        <v>0</v>
      </c>
      <c r="BJ135" s="6">
        <v>0.9</v>
      </c>
      <c r="BK135" s="6">
        <v>0</v>
      </c>
      <c r="BL135" s="6">
        <v>0</v>
      </c>
      <c r="BM135" s="6">
        <v>0</v>
      </c>
      <c r="BN135" s="6">
        <v>0</v>
      </c>
    </row>
    <row r="136" ht="51.25" customHeight="1" spans="1:66">
      <c r="A136" s="7">
        <v>16</v>
      </c>
      <c r="B136" s="7">
        <v>115</v>
      </c>
      <c r="C136" s="3" t="s">
        <v>215</v>
      </c>
      <c r="D136" s="8">
        <v>0.432</v>
      </c>
      <c r="E136" s="6">
        <v>1.916</v>
      </c>
      <c r="F136" s="6">
        <v>160</v>
      </c>
      <c r="G136" s="6">
        <f t="shared" si="4"/>
        <v>0.011975</v>
      </c>
      <c r="H136" s="6">
        <v>75</v>
      </c>
      <c r="I136" s="3" t="s">
        <v>170</v>
      </c>
      <c r="J136" s="3" t="s">
        <v>216</v>
      </c>
      <c r="K136" s="6">
        <v>0.96</v>
      </c>
      <c r="L136" s="6">
        <v>1</v>
      </c>
      <c r="M136" s="6">
        <v>1.3175</v>
      </c>
      <c r="N136" s="6">
        <v>0.605</v>
      </c>
      <c r="O136" s="6">
        <v>2.17768595041322</v>
      </c>
      <c r="P136" s="6">
        <v>0.7125</v>
      </c>
      <c r="Q136" s="6">
        <v>0.958385375498475</v>
      </c>
      <c r="R136" s="6">
        <v>0.432142857142857</v>
      </c>
      <c r="S136" s="6">
        <v>0.01463125</v>
      </c>
      <c r="T136" s="6">
        <v>0</v>
      </c>
      <c r="U136" s="6">
        <v>0.091810022037214</v>
      </c>
      <c r="V136" s="6">
        <v>0</v>
      </c>
      <c r="W136" s="6">
        <v>9.06029629406669</v>
      </c>
      <c r="X136" s="6">
        <v>0</v>
      </c>
      <c r="Y136" s="6">
        <v>9.06029629406669</v>
      </c>
      <c r="Z136" s="6">
        <v>1.31979166666667</v>
      </c>
      <c r="AA136" s="6">
        <v>1.54</v>
      </c>
      <c r="AB136" s="6">
        <v>2.12020833333333</v>
      </c>
      <c r="AC136" s="6">
        <v>1.9</v>
      </c>
      <c r="AD136" s="6">
        <v>0.220208333333333</v>
      </c>
      <c r="AE136" s="6">
        <v>2.08333333333333</v>
      </c>
      <c r="AF136" s="6">
        <v>4</v>
      </c>
      <c r="AG136" s="6">
        <v>0.837489635093408</v>
      </c>
      <c r="AH136" s="6">
        <v>0</v>
      </c>
      <c r="AI136" s="6">
        <v>0.592194600147996</v>
      </c>
      <c r="AJ136" s="6">
        <v>115.461544566667</v>
      </c>
      <c r="AK136" s="6">
        <v>47.867</v>
      </c>
      <c r="AL136" s="6">
        <v>127.360416666667</v>
      </c>
      <c r="AM136" s="6">
        <v>100</v>
      </c>
      <c r="AN136" s="6">
        <v>6.15081463958333</v>
      </c>
      <c r="AO136" s="6">
        <v>6.82812</v>
      </c>
      <c r="AP136" s="6">
        <v>0</v>
      </c>
      <c r="AQ136" s="6">
        <v>0</v>
      </c>
      <c r="AR136" s="6">
        <v>0.395833333333333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0.3125</v>
      </c>
      <c r="AY136" s="6">
        <v>0</v>
      </c>
      <c r="AZ136" s="6">
        <v>0</v>
      </c>
      <c r="BA136" s="6">
        <v>0.291666666666667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1</v>
      </c>
      <c r="BK136" s="6">
        <v>0</v>
      </c>
      <c r="BL136" s="6">
        <v>0</v>
      </c>
      <c r="BM136" s="6">
        <v>0</v>
      </c>
      <c r="BN136" s="6">
        <v>0</v>
      </c>
    </row>
    <row r="137" ht="51.25" customHeight="1" spans="1:66">
      <c r="A137" s="7">
        <v>15</v>
      </c>
      <c r="B137" s="7">
        <v>114</v>
      </c>
      <c r="C137" s="3" t="s">
        <v>217</v>
      </c>
      <c r="D137" s="8">
        <v>0.437</v>
      </c>
      <c r="E137" s="6">
        <v>1.884</v>
      </c>
      <c r="F137" s="6">
        <v>100</v>
      </c>
      <c r="G137" s="6">
        <f t="shared" si="4"/>
        <v>0.01884</v>
      </c>
      <c r="H137" s="6">
        <v>92.9</v>
      </c>
      <c r="I137" s="3" t="s">
        <v>67</v>
      </c>
      <c r="J137" s="3"/>
      <c r="K137" s="6">
        <v>1</v>
      </c>
      <c r="L137" s="6">
        <v>1</v>
      </c>
      <c r="M137" s="6">
        <v>1.3349036</v>
      </c>
      <c r="N137" s="6">
        <v>0.6085</v>
      </c>
      <c r="O137" s="6">
        <v>2.19376105176664</v>
      </c>
      <c r="P137" s="6">
        <v>0.7264036</v>
      </c>
      <c r="Q137" s="6">
        <v>0.962842360692806</v>
      </c>
      <c r="R137" s="6">
        <v>0.434642857142857</v>
      </c>
      <c r="S137" s="6">
        <v>0.02585565070704</v>
      </c>
      <c r="T137" s="6">
        <v>0.00011025</v>
      </c>
      <c r="U137" s="6">
        <v>0.12045583202478</v>
      </c>
      <c r="V137" s="6">
        <v>0.0172555464256368</v>
      </c>
      <c r="W137" s="6">
        <v>9.87906152020792</v>
      </c>
      <c r="X137" s="6">
        <v>3.26246326475425</v>
      </c>
      <c r="Y137" s="6">
        <v>13.1415247849622</v>
      </c>
      <c r="Z137" s="6">
        <v>1.322047</v>
      </c>
      <c r="AA137" s="6">
        <v>1.542</v>
      </c>
      <c r="AB137" s="6">
        <v>2.117953</v>
      </c>
      <c r="AC137" s="6">
        <v>1.898</v>
      </c>
      <c r="AD137" s="6">
        <v>0.219953</v>
      </c>
      <c r="AE137" s="6">
        <v>1.918</v>
      </c>
      <c r="AF137" s="6">
        <v>4.1</v>
      </c>
      <c r="AG137" s="6">
        <v>0.969719547085651</v>
      </c>
      <c r="AH137" s="6">
        <v>0.3</v>
      </c>
      <c r="AI137" s="6">
        <v>0.717759012482602</v>
      </c>
      <c r="AJ137" s="6">
        <v>109.838387273331</v>
      </c>
      <c r="AK137" s="6">
        <v>55.8925974</v>
      </c>
      <c r="AL137" s="6">
        <v>134.577818</v>
      </c>
      <c r="AM137" s="6">
        <v>98.84</v>
      </c>
      <c r="AN137" s="6">
        <v>5.9607426292704</v>
      </c>
      <c r="AO137" s="6">
        <v>6.85282184</v>
      </c>
      <c r="AP137" s="6">
        <v>0</v>
      </c>
      <c r="AQ137" s="6">
        <v>0.05292</v>
      </c>
      <c r="AR137" s="6">
        <v>0.41454</v>
      </c>
      <c r="AS137" s="6">
        <v>0</v>
      </c>
      <c r="AT137" s="6">
        <v>0</v>
      </c>
      <c r="AU137" s="6">
        <v>0.1</v>
      </c>
      <c r="AV137" s="6">
        <v>0.018</v>
      </c>
      <c r="AW137" s="6">
        <v>0</v>
      </c>
      <c r="AX137" s="6">
        <v>0.41454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0.06</v>
      </c>
      <c r="BG137" s="6">
        <v>0</v>
      </c>
      <c r="BH137" s="6">
        <v>0</v>
      </c>
      <c r="BI137" s="6">
        <v>0.04</v>
      </c>
      <c r="BJ137" s="6">
        <v>0.9</v>
      </c>
      <c r="BK137" s="6">
        <v>0</v>
      </c>
      <c r="BL137" s="6">
        <v>0</v>
      </c>
      <c r="BM137" s="6">
        <v>0</v>
      </c>
      <c r="BN137" s="6">
        <v>0</v>
      </c>
    </row>
    <row r="138" ht="34.2" customHeight="1" spans="1:66">
      <c r="A138" s="7">
        <v>14</v>
      </c>
      <c r="B138" s="7">
        <v>113</v>
      </c>
      <c r="C138" s="3" t="s">
        <v>218</v>
      </c>
      <c r="D138" s="8">
        <v>0.443</v>
      </c>
      <c r="E138" s="6">
        <v>1.691</v>
      </c>
      <c r="F138" s="6">
        <v>120</v>
      </c>
      <c r="G138" s="6">
        <f t="shared" si="4"/>
        <v>0.0140916666666667</v>
      </c>
      <c r="H138" s="6">
        <v>69.4</v>
      </c>
      <c r="I138" s="3" t="s">
        <v>67</v>
      </c>
      <c r="J138" s="3"/>
      <c r="K138" s="6">
        <v>1</v>
      </c>
      <c r="L138" s="6">
        <v>1</v>
      </c>
      <c r="M138" s="6">
        <v>1.31648</v>
      </c>
      <c r="N138" s="6">
        <v>0.60675</v>
      </c>
      <c r="O138" s="6">
        <v>2.16972393901937</v>
      </c>
      <c r="P138" s="6">
        <v>0.70973</v>
      </c>
      <c r="Q138" s="6">
        <v>0.957190197562044</v>
      </c>
      <c r="R138" s="6">
        <v>0.433392857142857</v>
      </c>
      <c r="S138" s="6">
        <v>0.0132422096</v>
      </c>
      <c r="T138" s="6">
        <v>5.81875000000001e-5</v>
      </c>
      <c r="U138" s="6">
        <v>0.087410974736837</v>
      </c>
      <c r="V138" s="6">
        <v>0.0125720200266934</v>
      </c>
      <c r="W138" s="6">
        <v>10.1643760027688</v>
      </c>
      <c r="X138" s="6">
        <v>1.65054756993285</v>
      </c>
      <c r="Y138" s="6">
        <v>11.8149235727017</v>
      </c>
      <c r="Z138" s="6">
        <v>1.33473</v>
      </c>
      <c r="AA138" s="6">
        <v>1.543</v>
      </c>
      <c r="AB138" s="6">
        <v>2.10527</v>
      </c>
      <c r="AC138" s="6">
        <v>1.897</v>
      </c>
      <c r="AD138" s="6">
        <v>0.20827</v>
      </c>
      <c r="AE138" s="6">
        <v>1.95</v>
      </c>
      <c r="AF138" s="6">
        <v>4.05</v>
      </c>
      <c r="AG138" s="6">
        <v>0.877211491032807</v>
      </c>
      <c r="AH138" s="6">
        <v>0.217944947177034</v>
      </c>
      <c r="AI138" s="6">
        <v>0.639140047250992</v>
      </c>
      <c r="AJ138" s="6">
        <v>109.11200111008</v>
      </c>
      <c r="AK138" s="6">
        <v>50.1189685</v>
      </c>
      <c r="AL138" s="6">
        <v>123.7743</v>
      </c>
      <c r="AM138" s="6">
        <v>99.9</v>
      </c>
      <c r="AN138" s="6">
        <v>6.16251953716</v>
      </c>
      <c r="AO138" s="6">
        <v>6.8246565</v>
      </c>
      <c r="AP138" s="6">
        <v>0.05</v>
      </c>
      <c r="AQ138" s="6">
        <v>0</v>
      </c>
      <c r="AR138" s="6">
        <v>0.361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0.361</v>
      </c>
      <c r="AY138" s="6">
        <v>0</v>
      </c>
      <c r="AZ138" s="6">
        <v>0</v>
      </c>
      <c r="BA138" s="6">
        <v>0.228</v>
      </c>
      <c r="BB138" s="6">
        <v>0</v>
      </c>
      <c r="BC138" s="6">
        <v>0</v>
      </c>
      <c r="BD138" s="6">
        <v>0</v>
      </c>
      <c r="BE138" s="6">
        <v>0</v>
      </c>
      <c r="BF138" s="6">
        <v>0.05</v>
      </c>
      <c r="BG138" s="6">
        <v>0</v>
      </c>
      <c r="BH138" s="6">
        <v>0</v>
      </c>
      <c r="BI138" s="6">
        <v>0</v>
      </c>
      <c r="BJ138" s="6">
        <v>0.95</v>
      </c>
      <c r="BK138" s="6">
        <v>0</v>
      </c>
      <c r="BL138" s="6">
        <v>0</v>
      </c>
      <c r="BM138" s="6">
        <v>0</v>
      </c>
      <c r="BN138" s="6">
        <v>0</v>
      </c>
    </row>
    <row r="139" ht="34.2" customHeight="1" spans="1:66">
      <c r="A139" s="7">
        <v>12</v>
      </c>
      <c r="B139" s="7">
        <v>112</v>
      </c>
      <c r="C139" s="3" t="s">
        <v>219</v>
      </c>
      <c r="D139" s="8">
        <v>0.448</v>
      </c>
      <c r="E139" s="6">
        <v>1.755</v>
      </c>
      <c r="F139" s="6">
        <v>135</v>
      </c>
      <c r="G139" s="6">
        <f t="shared" si="4"/>
        <v>0.013</v>
      </c>
      <c r="H139" s="6">
        <v>88</v>
      </c>
      <c r="I139" s="3" t="s">
        <v>67</v>
      </c>
      <c r="J139" s="3"/>
      <c r="K139" s="6">
        <v>1</v>
      </c>
      <c r="L139" s="6">
        <v>1</v>
      </c>
      <c r="M139" s="6">
        <v>1.29276</v>
      </c>
      <c r="N139" s="6">
        <v>0.61075</v>
      </c>
      <c r="O139" s="6">
        <v>2.11667621776504</v>
      </c>
      <c r="P139" s="6">
        <v>0.68201</v>
      </c>
      <c r="Q139" s="6">
        <v>0.946944600824512</v>
      </c>
      <c r="R139" s="6">
        <v>0.43625</v>
      </c>
      <c r="S139" s="6">
        <v>0.0189067824</v>
      </c>
      <c r="T139" s="6">
        <v>0.0006281875</v>
      </c>
      <c r="U139" s="6">
        <v>0.106363080530316</v>
      </c>
      <c r="V139" s="6">
        <v>0.0410375258704198</v>
      </c>
      <c r="W139" s="6">
        <v>7.45494711970033</v>
      </c>
      <c r="X139" s="6">
        <v>1.65054756993285</v>
      </c>
      <c r="Y139" s="6">
        <v>9.10549468963318</v>
      </c>
      <c r="Z139" s="6">
        <v>1.4257</v>
      </c>
      <c r="AA139" s="6">
        <v>1.5285</v>
      </c>
      <c r="AB139" s="6">
        <v>2.0143</v>
      </c>
      <c r="AC139" s="6">
        <v>1.9115</v>
      </c>
      <c r="AD139" s="6">
        <v>0.1028</v>
      </c>
      <c r="AE139" s="6">
        <v>2.1</v>
      </c>
      <c r="AF139" s="6">
        <v>3.9</v>
      </c>
      <c r="AG139" s="6">
        <v>0.958123165360279</v>
      </c>
      <c r="AH139" s="6">
        <v>0.435889894354067</v>
      </c>
      <c r="AI139" s="6">
        <v>0.744311762637136</v>
      </c>
      <c r="AJ139" s="6">
        <v>126.82123408192</v>
      </c>
      <c r="AK139" s="6">
        <v>46.6889</v>
      </c>
      <c r="AL139" s="6">
        <v>111.6138</v>
      </c>
      <c r="AM139" s="6">
        <v>98.56</v>
      </c>
      <c r="AN139" s="6">
        <v>6.24757293664</v>
      </c>
      <c r="AO139" s="6">
        <v>6.8690258</v>
      </c>
      <c r="AP139" s="6">
        <v>0</v>
      </c>
      <c r="AQ139" s="6">
        <v>0.072</v>
      </c>
      <c r="AR139" s="6">
        <v>0.514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0.414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0.05</v>
      </c>
      <c r="BF139" s="6">
        <v>0</v>
      </c>
      <c r="BG139" s="6">
        <v>0</v>
      </c>
      <c r="BH139" s="6">
        <v>0</v>
      </c>
      <c r="BI139" s="6">
        <v>0</v>
      </c>
      <c r="BJ139" s="6">
        <v>0.95</v>
      </c>
      <c r="BK139" s="6">
        <v>0</v>
      </c>
      <c r="BL139" s="6">
        <v>0</v>
      </c>
      <c r="BM139" s="6">
        <v>0</v>
      </c>
      <c r="BN139" s="6">
        <v>0</v>
      </c>
    </row>
    <row r="140" ht="51.25" customHeight="1" spans="1:66">
      <c r="A140" s="7">
        <v>11</v>
      </c>
      <c r="B140" s="7">
        <v>111</v>
      </c>
      <c r="C140" s="3" t="s">
        <v>220</v>
      </c>
      <c r="D140" s="8">
        <v>0.453</v>
      </c>
      <c r="E140" s="6">
        <v>1.613</v>
      </c>
      <c r="F140" s="6">
        <v>135</v>
      </c>
      <c r="G140" s="6">
        <f t="shared" si="4"/>
        <v>0.0119481481481481</v>
      </c>
      <c r="H140" s="6">
        <v>70</v>
      </c>
      <c r="I140" s="3" t="s">
        <v>170</v>
      </c>
      <c r="J140" s="3" t="s">
        <v>221</v>
      </c>
      <c r="K140" s="6">
        <v>1</v>
      </c>
      <c r="L140" s="6">
        <v>0.995</v>
      </c>
      <c r="M140" s="6">
        <v>1.306051</v>
      </c>
      <c r="N140" s="6">
        <v>0.60570351758794</v>
      </c>
      <c r="O140" s="6">
        <v>2.15625460654582</v>
      </c>
      <c r="P140" s="6">
        <v>0.70034748241206</v>
      </c>
      <c r="Q140" s="6">
        <v>0.954012891515379</v>
      </c>
      <c r="R140" s="6">
        <v>0.432645369705671</v>
      </c>
      <c r="S140" s="6">
        <v>0.017041815399</v>
      </c>
      <c r="T140" s="6">
        <v>2.4128178581349e-5</v>
      </c>
      <c r="U140" s="6">
        <v>0.0999534507863527</v>
      </c>
      <c r="V140" s="6">
        <v>0.00810965116409198</v>
      </c>
      <c r="W140" s="6">
        <v>8.2956401487749</v>
      </c>
      <c r="X140" s="6">
        <v>0.818392503519118</v>
      </c>
      <c r="Y140" s="6">
        <v>9.11403265229402</v>
      </c>
      <c r="Z140" s="6">
        <v>1.35718</v>
      </c>
      <c r="AA140" s="6">
        <v>1.54120603015075</v>
      </c>
      <c r="AB140" s="6">
        <v>2.08282</v>
      </c>
      <c r="AC140" s="6">
        <v>1.89879396984925</v>
      </c>
      <c r="AD140" s="6">
        <v>0.184026030150754</v>
      </c>
      <c r="AE140" s="6">
        <v>2</v>
      </c>
      <c r="AF140" s="6">
        <v>4.02010050251256</v>
      </c>
      <c r="AG140" s="6">
        <v>0.969535971483266</v>
      </c>
      <c r="AH140" s="6">
        <v>0.140344121042904</v>
      </c>
      <c r="AI140" s="6">
        <v>0.692710788248352</v>
      </c>
      <c r="AJ140" s="6">
        <v>114.9601343646</v>
      </c>
      <c r="AK140" s="6">
        <v>48.7723139698492</v>
      </c>
      <c r="AL140" s="6">
        <v>120.8433</v>
      </c>
      <c r="AM140" s="6">
        <v>99.9597989949749</v>
      </c>
      <c r="AN140" s="6">
        <v>6.0960451008</v>
      </c>
      <c r="AO140" s="6">
        <v>6.82672763819096</v>
      </c>
      <c r="AP140" s="6">
        <v>0</v>
      </c>
      <c r="AQ140" s="6">
        <v>0.06</v>
      </c>
      <c r="AR140" s="6">
        <v>0.4371</v>
      </c>
      <c r="AS140" s="6">
        <v>0</v>
      </c>
      <c r="AT140" s="6">
        <v>0</v>
      </c>
      <c r="AU140" s="6">
        <v>0</v>
      </c>
      <c r="AV140" s="6">
        <v>0.0329</v>
      </c>
      <c r="AW140" s="6">
        <v>0</v>
      </c>
      <c r="AX140" s="6">
        <v>0.47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0.0201005025125628</v>
      </c>
      <c r="BG140" s="6">
        <v>0</v>
      </c>
      <c r="BH140" s="6">
        <v>0</v>
      </c>
      <c r="BI140" s="6">
        <v>0</v>
      </c>
      <c r="BJ140" s="6">
        <v>0.979899497487437</v>
      </c>
      <c r="BK140" s="6">
        <v>0</v>
      </c>
      <c r="BL140" s="6">
        <v>0</v>
      </c>
      <c r="BM140" s="6">
        <v>0</v>
      </c>
      <c r="BN140" s="6">
        <v>0</v>
      </c>
    </row>
    <row r="141" ht="17.1" customHeight="1" spans="1:66">
      <c r="A141" s="7">
        <v>10</v>
      </c>
      <c r="B141" s="7">
        <v>110</v>
      </c>
      <c r="C141" s="3" t="s">
        <v>222</v>
      </c>
      <c r="D141" s="8">
        <v>0.458</v>
      </c>
      <c r="E141" s="6">
        <v>1.445</v>
      </c>
      <c r="F141" s="6">
        <v>139</v>
      </c>
      <c r="G141" s="6">
        <f t="shared" si="4"/>
        <v>0.0103956834532374</v>
      </c>
      <c r="H141" s="6">
        <v>73.97</v>
      </c>
      <c r="I141" s="3" t="s">
        <v>67</v>
      </c>
      <c r="J141" s="3"/>
      <c r="K141" s="6">
        <v>1</v>
      </c>
      <c r="L141" s="6">
        <v>1.000001</v>
      </c>
      <c r="M141" s="6">
        <v>1.302208</v>
      </c>
      <c r="N141" s="6">
        <v>0.609066730933269</v>
      </c>
      <c r="O141" s="6">
        <v>2.13803830329829</v>
      </c>
      <c r="P141" s="6">
        <v>0.693141269066731</v>
      </c>
      <c r="Q141" s="6">
        <v>0.951063283044332</v>
      </c>
      <c r="R141" s="6">
        <v>0.435047664952335</v>
      </c>
      <c r="S141" s="6">
        <v>0.016954484736</v>
      </c>
      <c r="T141" s="6">
        <v>0.00048580142217667</v>
      </c>
      <c r="U141" s="6">
        <v>0.099991236460408</v>
      </c>
      <c r="V141" s="6">
        <v>0.0361879943017481</v>
      </c>
      <c r="W141" s="6">
        <v>8.4086570410364</v>
      </c>
      <c r="X141" s="6">
        <v>1.68493435311333</v>
      </c>
      <c r="Y141" s="6">
        <v>10.0935913941497</v>
      </c>
      <c r="Z141" s="6">
        <v>1.37216</v>
      </c>
      <c r="AA141" s="6">
        <v>1.54306670693329</v>
      </c>
      <c r="AB141" s="6">
        <v>2.06784</v>
      </c>
      <c r="AC141" s="6">
        <v>1.89693329306671</v>
      </c>
      <c r="AD141" s="6">
        <v>0.170906706933293</v>
      </c>
      <c r="AE141" s="6">
        <v>2.04</v>
      </c>
      <c r="AF141" s="6">
        <v>3.96000003999996</v>
      </c>
      <c r="AG141" s="6">
        <v>0.969948452238571</v>
      </c>
      <c r="AH141" s="6">
        <v>0.344095747137501</v>
      </c>
      <c r="AI141" s="6">
        <v>0.727736862883184</v>
      </c>
      <c r="AJ141" s="6">
        <v>118.131194379136</v>
      </c>
      <c r="AK141" s="6">
        <v>49.5215452232048</v>
      </c>
      <c r="AL141" s="6">
        <v>119.33504</v>
      </c>
      <c r="AM141" s="6">
        <v>98.1778387121613</v>
      </c>
      <c r="AN141" s="6">
        <v>6.129244224512</v>
      </c>
      <c r="AO141" s="6">
        <v>6.90089759330841</v>
      </c>
      <c r="AP141" s="6">
        <v>0</v>
      </c>
      <c r="AQ141" s="6">
        <v>0.0576</v>
      </c>
      <c r="AR141" s="6">
        <v>0.4512</v>
      </c>
      <c r="AS141" s="6">
        <v>0</v>
      </c>
      <c r="AT141" s="6">
        <v>0</v>
      </c>
      <c r="AU141" s="6">
        <v>0</v>
      </c>
      <c r="AV141" s="6">
        <v>0.04</v>
      </c>
      <c r="AW141" s="6">
        <v>0</v>
      </c>
      <c r="AX141" s="6">
        <v>0.4512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0.00666699333300667</v>
      </c>
      <c r="BG141" s="6">
        <v>0</v>
      </c>
      <c r="BH141" s="6">
        <v>0</v>
      </c>
      <c r="BI141" s="6">
        <v>0.00666699333300667</v>
      </c>
      <c r="BJ141" s="6">
        <v>0.95999904000096</v>
      </c>
      <c r="BK141" s="6">
        <v>0</v>
      </c>
      <c r="BL141" s="6">
        <v>0</v>
      </c>
      <c r="BM141" s="6">
        <v>0.0266669733330267</v>
      </c>
      <c r="BN141" s="6">
        <v>0</v>
      </c>
    </row>
    <row r="142" ht="34.2" customHeight="1" spans="1:66">
      <c r="A142" s="7">
        <v>9</v>
      </c>
      <c r="B142" s="7">
        <v>109</v>
      </c>
      <c r="C142" s="3" t="s">
        <v>223</v>
      </c>
      <c r="D142" s="8">
        <v>0.463</v>
      </c>
      <c r="E142" s="6">
        <v>1.304</v>
      </c>
      <c r="F142" s="6">
        <v>140</v>
      </c>
      <c r="G142" s="6">
        <f t="shared" si="4"/>
        <v>0.00931428571428571</v>
      </c>
      <c r="H142" s="6">
        <v>82</v>
      </c>
      <c r="I142" s="3" t="s">
        <v>170</v>
      </c>
      <c r="J142" s="3" t="s">
        <v>224</v>
      </c>
      <c r="K142" s="6">
        <v>1.0032</v>
      </c>
      <c r="L142" s="6">
        <v>1.016</v>
      </c>
      <c r="M142" s="6">
        <v>1.32014673046252</v>
      </c>
      <c r="N142" s="6">
        <v>0.612992125984252</v>
      </c>
      <c r="O142" s="6">
        <v>2.15361123659268</v>
      </c>
      <c r="P142" s="6">
        <v>0.707154604478268</v>
      </c>
      <c r="Q142" s="6">
        <v>0.955510046017692</v>
      </c>
      <c r="R142" s="6">
        <v>0.43785151856018</v>
      </c>
      <c r="S142" s="6">
        <v>0.0151994362054186</v>
      </c>
      <c r="T142" s="6">
        <v>0.000215850331700664</v>
      </c>
      <c r="U142" s="6">
        <v>0.0933880989926228</v>
      </c>
      <c r="V142" s="6">
        <v>0.0239674298129308</v>
      </c>
      <c r="W142" s="6">
        <v>7.36723693804108</v>
      </c>
      <c r="X142" s="6">
        <v>4.46711643743559</v>
      </c>
      <c r="Y142" s="6">
        <v>11.8343533754767</v>
      </c>
      <c r="Z142" s="6">
        <v>1.28466507177033</v>
      </c>
      <c r="AA142" s="6">
        <v>1.55370078740158</v>
      </c>
      <c r="AB142" s="6">
        <v>2.15533492822966</v>
      </c>
      <c r="AC142" s="6">
        <v>1.88629921259842</v>
      </c>
      <c r="AD142" s="6">
        <v>0.26903571563124</v>
      </c>
      <c r="AE142" s="6">
        <v>1.79425837320574</v>
      </c>
      <c r="AF142" s="6">
        <v>4.22834645669291</v>
      </c>
      <c r="AG142" s="6">
        <v>0.947639836750774</v>
      </c>
      <c r="AH142" s="6">
        <v>0.41976702158305</v>
      </c>
      <c r="AI142" s="6">
        <v>0.732879803448608</v>
      </c>
      <c r="AJ142" s="6">
        <v>97.4908836081404</v>
      </c>
      <c r="AK142" s="6">
        <v>58.1515805511811</v>
      </c>
      <c r="AL142" s="6">
        <v>126.135422647528</v>
      </c>
      <c r="AM142" s="6">
        <v>99.5433070866142</v>
      </c>
      <c r="AN142" s="6">
        <v>5.93796900377671</v>
      </c>
      <c r="AO142" s="6">
        <v>6.81230244094488</v>
      </c>
      <c r="AP142" s="6">
        <v>0</v>
      </c>
      <c r="AQ142" s="6">
        <v>0.0468899521531101</v>
      </c>
      <c r="AR142" s="6">
        <v>0.367304625199362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0.57304625199362</v>
      </c>
      <c r="AY142" s="6">
        <v>0</v>
      </c>
      <c r="AZ142" s="6">
        <v>0</v>
      </c>
      <c r="BA142" s="6">
        <v>0.0127591706539075</v>
      </c>
      <c r="BB142" s="6">
        <v>0</v>
      </c>
      <c r="BC142" s="6">
        <v>0</v>
      </c>
      <c r="BD142" s="6">
        <v>0</v>
      </c>
      <c r="BE142" s="6">
        <v>0</v>
      </c>
      <c r="BF142" s="6">
        <v>0.228346456692913</v>
      </c>
      <c r="BG142" s="6">
        <v>0</v>
      </c>
      <c r="BH142" s="6">
        <v>0</v>
      </c>
      <c r="BI142" s="6">
        <v>0</v>
      </c>
      <c r="BJ142" s="6">
        <v>0.771653543307087</v>
      </c>
      <c r="BK142" s="6">
        <v>0</v>
      </c>
      <c r="BL142" s="6">
        <v>0</v>
      </c>
      <c r="BM142" s="6">
        <v>0</v>
      </c>
      <c r="BN142" s="6">
        <v>0</v>
      </c>
    </row>
    <row r="143" ht="34.2" customHeight="1" spans="1:66">
      <c r="A143" s="7">
        <v>8</v>
      </c>
      <c r="B143" s="7">
        <v>108</v>
      </c>
      <c r="C143" s="3" t="s">
        <v>225</v>
      </c>
      <c r="D143" s="8">
        <v>0.469</v>
      </c>
      <c r="E143" s="6">
        <v>1.223</v>
      </c>
      <c r="F143" s="6">
        <v>150</v>
      </c>
      <c r="G143" s="6">
        <f t="shared" si="4"/>
        <v>0.00815333333333333</v>
      </c>
      <c r="H143" s="6">
        <v>79.15</v>
      </c>
      <c r="I143" s="3" t="s">
        <v>170</v>
      </c>
      <c r="J143" s="3" t="s">
        <v>226</v>
      </c>
      <c r="K143" s="6">
        <v>1</v>
      </c>
      <c r="L143" s="6">
        <v>1.18</v>
      </c>
      <c r="M143" s="6">
        <v>1.3031</v>
      </c>
      <c r="N143" s="6">
        <v>0.619406779661017</v>
      </c>
      <c r="O143" s="6">
        <v>2.10378711178</v>
      </c>
      <c r="P143" s="6">
        <v>0.683693220338983</v>
      </c>
      <c r="Q143" s="6">
        <v>0.946505854826439</v>
      </c>
      <c r="R143" s="6">
        <v>0.442433414043584</v>
      </c>
      <c r="S143" s="6">
        <v>0.01834239</v>
      </c>
      <c r="T143" s="6">
        <v>0.00101702097098535</v>
      </c>
      <c r="U143" s="6">
        <v>0.103932223088064</v>
      </c>
      <c r="V143" s="6">
        <v>0.0514859818798792</v>
      </c>
      <c r="W143" s="6">
        <v>7.46859762181706</v>
      </c>
      <c r="X143" s="6">
        <v>3.78373770768628</v>
      </c>
      <c r="Y143" s="6">
        <v>11.2523353295033</v>
      </c>
      <c r="Z143" s="6">
        <v>1.37825</v>
      </c>
      <c r="AA143" s="6">
        <v>1.61118644067797</v>
      </c>
      <c r="AB143" s="6">
        <v>2.06175</v>
      </c>
      <c r="AC143" s="6">
        <v>1.82881355932203</v>
      </c>
      <c r="AD143" s="6">
        <v>0.232936440677966</v>
      </c>
      <c r="AE143" s="6">
        <v>2</v>
      </c>
      <c r="AF143" s="6">
        <v>4</v>
      </c>
      <c r="AG143" s="6">
        <v>0.964365076099296</v>
      </c>
      <c r="AH143" s="6">
        <v>0</v>
      </c>
      <c r="AI143" s="6">
        <v>0.681909084849293</v>
      </c>
      <c r="AJ143" s="6">
        <v>117.4790187152</v>
      </c>
      <c r="AK143" s="6">
        <v>59.8742881355932</v>
      </c>
      <c r="AL143" s="6">
        <v>117.0155</v>
      </c>
      <c r="AM143" s="6">
        <v>92.0338983050847</v>
      </c>
      <c r="AN143" s="6">
        <v>6.1422522484</v>
      </c>
      <c r="AO143" s="6">
        <v>6.91554338983051</v>
      </c>
      <c r="AP143" s="6">
        <v>0</v>
      </c>
      <c r="AQ143" s="6">
        <v>0.07</v>
      </c>
      <c r="AR143" s="6">
        <v>0.465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0.465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0.169491525423729</v>
      </c>
      <c r="BI143" s="6">
        <v>0</v>
      </c>
      <c r="BJ143" s="6">
        <v>0.830508474576271</v>
      </c>
      <c r="BK143" s="6">
        <v>0</v>
      </c>
      <c r="BL143" s="6">
        <v>0</v>
      </c>
      <c r="BM143" s="6">
        <v>0</v>
      </c>
      <c r="BN143" s="6">
        <v>0</v>
      </c>
    </row>
    <row r="144" ht="34.2" customHeight="1" spans="1:66">
      <c r="A144" s="7">
        <v>7</v>
      </c>
      <c r="B144" s="7">
        <v>107</v>
      </c>
      <c r="C144" s="3" t="s">
        <v>227</v>
      </c>
      <c r="D144" s="8">
        <v>0.474</v>
      </c>
      <c r="E144" s="6">
        <v>1.351</v>
      </c>
      <c r="F144" s="6">
        <v>98</v>
      </c>
      <c r="G144" s="6">
        <f t="shared" si="4"/>
        <v>0.0137857142857143</v>
      </c>
      <c r="H144" s="6">
        <v>68.7</v>
      </c>
      <c r="I144" s="3" t="s">
        <v>67</v>
      </c>
      <c r="J144" s="3"/>
      <c r="K144" s="6">
        <v>1</v>
      </c>
      <c r="L144" s="6">
        <v>1</v>
      </c>
      <c r="M144" s="6">
        <v>1.2998</v>
      </c>
      <c r="N144" s="6">
        <v>0.65153</v>
      </c>
      <c r="O144" s="6">
        <v>1.99499639310546</v>
      </c>
      <c r="P144" s="6">
        <v>0.64827</v>
      </c>
      <c r="Q144" s="6">
        <v>0.930547877850892</v>
      </c>
      <c r="R144" s="6">
        <v>0.465378571428571</v>
      </c>
      <c r="S144" s="6">
        <v>0.01751596</v>
      </c>
      <c r="T144" s="6">
        <v>0.0102782091</v>
      </c>
      <c r="U144" s="6">
        <v>0.101821722523247</v>
      </c>
      <c r="V144" s="6">
        <v>0.155605271822861</v>
      </c>
      <c r="W144" s="6">
        <v>7.30447052371147</v>
      </c>
      <c r="X144" s="6">
        <v>6.57091847114924</v>
      </c>
      <c r="Y144" s="6">
        <v>13.8753889948607</v>
      </c>
      <c r="Z144" s="6">
        <v>1.3835</v>
      </c>
      <c r="AA144" s="6">
        <v>1.48924</v>
      </c>
      <c r="AB144" s="6">
        <v>2.0565</v>
      </c>
      <c r="AC144" s="6">
        <v>1.95076</v>
      </c>
      <c r="AD144" s="6">
        <v>0.10574</v>
      </c>
      <c r="AE144" s="6">
        <v>2</v>
      </c>
      <c r="AF144" s="6">
        <v>4</v>
      </c>
      <c r="AG144" s="6">
        <v>0.969535971483266</v>
      </c>
      <c r="AH144" s="6">
        <v>0.53103672189407</v>
      </c>
      <c r="AI144" s="6">
        <v>0.781664889834512</v>
      </c>
      <c r="AJ144" s="6">
        <v>117.2655995616</v>
      </c>
      <c r="AK144" s="6">
        <v>72.41788052</v>
      </c>
      <c r="AL144" s="6">
        <v>115.349</v>
      </c>
      <c r="AM144" s="6">
        <v>105.076</v>
      </c>
      <c r="AN144" s="6">
        <v>6.1522585672</v>
      </c>
      <c r="AO144" s="6">
        <v>6.843713331</v>
      </c>
      <c r="AP144" s="6">
        <v>0</v>
      </c>
      <c r="AQ144" s="6">
        <v>0.06</v>
      </c>
      <c r="AR144" s="6">
        <v>0.47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0.47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0.141</v>
      </c>
      <c r="BJ144" s="6">
        <v>0.718</v>
      </c>
      <c r="BK144" s="6">
        <v>0</v>
      </c>
      <c r="BL144" s="6">
        <v>0.141</v>
      </c>
      <c r="BM144" s="6">
        <v>0</v>
      </c>
      <c r="BN144" s="6">
        <v>0</v>
      </c>
    </row>
    <row r="145" ht="34.2" customHeight="1" spans="1:66">
      <c r="A145" s="7">
        <v>6</v>
      </c>
      <c r="B145" s="7">
        <v>106</v>
      </c>
      <c r="C145" s="3" t="s">
        <v>228</v>
      </c>
      <c r="D145" s="8">
        <v>0.479</v>
      </c>
      <c r="E145" s="6">
        <v>1.27</v>
      </c>
      <c r="F145" s="6">
        <v>100</v>
      </c>
      <c r="G145" s="6">
        <f t="shared" si="4"/>
        <v>0.0127</v>
      </c>
      <c r="H145" s="6">
        <v>74.8</v>
      </c>
      <c r="I145" s="3" t="s">
        <v>67</v>
      </c>
      <c r="J145" s="3"/>
      <c r="K145" s="6">
        <v>1</v>
      </c>
      <c r="L145" s="6">
        <v>1</v>
      </c>
      <c r="M145" s="6">
        <v>1.31476</v>
      </c>
      <c r="N145" s="6">
        <v>0.6085</v>
      </c>
      <c r="O145" s="6">
        <v>2.16065735414955</v>
      </c>
      <c r="P145" s="6">
        <v>0.70626</v>
      </c>
      <c r="Q145" s="6">
        <v>0.955750662332085</v>
      </c>
      <c r="R145" s="6">
        <v>0.434642857142857</v>
      </c>
      <c r="S145" s="6">
        <v>0.0178613424</v>
      </c>
      <c r="T145" s="6">
        <v>0.00011025</v>
      </c>
      <c r="U145" s="6">
        <v>0.101650744837868</v>
      </c>
      <c r="V145" s="6">
        <v>0.0172555464256369</v>
      </c>
      <c r="W145" s="6">
        <v>7.45494711970033</v>
      </c>
      <c r="X145" s="6">
        <v>2.7028902300613</v>
      </c>
      <c r="Y145" s="6">
        <v>10.1578373497616</v>
      </c>
      <c r="Z145" s="6">
        <v>1.3287</v>
      </c>
      <c r="AA145" s="6">
        <v>1.546</v>
      </c>
      <c r="AB145" s="6">
        <v>2.1113</v>
      </c>
      <c r="AC145" s="6">
        <v>1.894</v>
      </c>
      <c r="AD145" s="6">
        <v>0.2173</v>
      </c>
      <c r="AE145" s="6">
        <v>1.9</v>
      </c>
      <c r="AF145" s="6">
        <v>4.1</v>
      </c>
      <c r="AG145" s="6">
        <v>0.958123165360279</v>
      </c>
      <c r="AH145" s="6">
        <v>0.3</v>
      </c>
      <c r="AI145" s="6">
        <v>0.709929573971954</v>
      </c>
      <c r="AJ145" s="6">
        <v>108.22217100992</v>
      </c>
      <c r="AK145" s="6">
        <v>52.370937</v>
      </c>
      <c r="AL145" s="6">
        <v>123.0838</v>
      </c>
      <c r="AM145" s="6">
        <v>99.8</v>
      </c>
      <c r="AN145" s="6">
        <v>6.03292903264</v>
      </c>
      <c r="AO145" s="6">
        <v>6.821193</v>
      </c>
      <c r="AP145" s="6">
        <v>0</v>
      </c>
      <c r="AQ145" s="6">
        <v>0.072</v>
      </c>
      <c r="AR145" s="6">
        <v>0.414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0.514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0.1</v>
      </c>
      <c r="BG145" s="6">
        <v>0</v>
      </c>
      <c r="BH145" s="6">
        <v>0</v>
      </c>
      <c r="BI145" s="6">
        <v>0</v>
      </c>
      <c r="BJ145" s="6">
        <v>0.9</v>
      </c>
      <c r="BK145" s="6">
        <v>0</v>
      </c>
      <c r="BL145" s="6">
        <v>0</v>
      </c>
      <c r="BM145" s="6">
        <v>0</v>
      </c>
      <c r="BN145" s="6">
        <v>0</v>
      </c>
    </row>
    <row r="146" ht="51.25" customHeight="1" spans="1:66">
      <c r="A146" s="7">
        <v>5</v>
      </c>
      <c r="B146" s="7">
        <v>105</v>
      </c>
      <c r="C146" s="3" t="s">
        <v>229</v>
      </c>
      <c r="D146" s="8">
        <v>0.484</v>
      </c>
      <c r="E146" s="6">
        <v>1.287</v>
      </c>
      <c r="F146" s="6">
        <v>110</v>
      </c>
      <c r="G146" s="6">
        <f t="shared" si="4"/>
        <v>0.0117</v>
      </c>
      <c r="H146" s="6">
        <v>66</v>
      </c>
      <c r="I146" s="3" t="s">
        <v>67</v>
      </c>
      <c r="J146" s="3"/>
      <c r="K146" s="6">
        <v>1</v>
      </c>
      <c r="L146" s="6">
        <v>1</v>
      </c>
      <c r="M146" s="6">
        <v>1.325448</v>
      </c>
      <c r="N146" s="6">
        <v>0.6177</v>
      </c>
      <c r="O146" s="6">
        <v>2.14577950461389</v>
      </c>
      <c r="P146" s="6">
        <v>0.707748</v>
      </c>
      <c r="Q146" s="6">
        <v>0.955138406389113</v>
      </c>
      <c r="R146" s="6">
        <v>0.441214285714286</v>
      </c>
      <c r="S146" s="6">
        <v>0.017464559296</v>
      </c>
      <c r="T146" s="6">
        <v>0.00101921</v>
      </c>
      <c r="U146" s="6">
        <v>0.0997048125572561</v>
      </c>
      <c r="V146" s="6">
        <v>0.0516837761371137</v>
      </c>
      <c r="W146" s="6">
        <v>9.15895205545273</v>
      </c>
      <c r="X146" s="6">
        <v>4.94749246729413</v>
      </c>
      <c r="Y146" s="6">
        <v>14.1064445227469</v>
      </c>
      <c r="Z146" s="6">
        <v>1.29486</v>
      </c>
      <c r="AA146" s="6">
        <v>1.5292</v>
      </c>
      <c r="AB146" s="6">
        <v>2.14514</v>
      </c>
      <c r="AC146" s="6">
        <v>1.9108</v>
      </c>
      <c r="AD146" s="6">
        <v>0.23434</v>
      </c>
      <c r="AE146" s="6">
        <v>1.9</v>
      </c>
      <c r="AF146" s="6">
        <v>4.1</v>
      </c>
      <c r="AG146" s="6">
        <v>0.918912400612811</v>
      </c>
      <c r="AH146" s="6">
        <v>0.3</v>
      </c>
      <c r="AI146" s="6">
        <v>0.683520299625403</v>
      </c>
      <c r="AJ146" s="6">
        <v>105.816375980416</v>
      </c>
      <c r="AK146" s="6">
        <v>55.839497</v>
      </c>
      <c r="AL146" s="6">
        <v>129.36524</v>
      </c>
      <c r="AM146" s="6">
        <v>100.76</v>
      </c>
      <c r="AN146" s="6">
        <v>5.997938754272</v>
      </c>
      <c r="AO146" s="6">
        <v>6.80567348</v>
      </c>
      <c r="AP146" s="6">
        <v>0</v>
      </c>
      <c r="AQ146" s="6">
        <v>0.0656</v>
      </c>
      <c r="AR146" s="6">
        <v>0.3772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0.4772</v>
      </c>
      <c r="AY146" s="6">
        <v>0</v>
      </c>
      <c r="AZ146" s="6">
        <v>0</v>
      </c>
      <c r="BA146" s="6">
        <v>0.08</v>
      </c>
      <c r="BB146" s="6">
        <v>0</v>
      </c>
      <c r="BC146" s="6">
        <v>0</v>
      </c>
      <c r="BD146" s="6">
        <v>0</v>
      </c>
      <c r="BE146" s="6">
        <v>0</v>
      </c>
      <c r="BF146" s="6">
        <v>0.1</v>
      </c>
      <c r="BG146" s="6">
        <v>0</v>
      </c>
      <c r="BH146" s="6">
        <v>0</v>
      </c>
      <c r="BI146" s="6">
        <v>0</v>
      </c>
      <c r="BJ146" s="6">
        <v>0.82</v>
      </c>
      <c r="BK146" s="6">
        <v>0</v>
      </c>
      <c r="BL146" s="6">
        <v>0</v>
      </c>
      <c r="BM146" s="6">
        <v>0</v>
      </c>
      <c r="BN146" s="6">
        <v>0.08</v>
      </c>
    </row>
    <row r="147" ht="17.1" customHeight="1" spans="1:66">
      <c r="A147" s="7">
        <v>4</v>
      </c>
      <c r="B147" s="7">
        <v>104</v>
      </c>
      <c r="C147" s="3" t="s">
        <v>230</v>
      </c>
      <c r="D147" s="8">
        <v>0.49</v>
      </c>
      <c r="E147" s="6">
        <v>1.236</v>
      </c>
      <c r="F147" s="6">
        <v>115</v>
      </c>
      <c r="G147" s="6">
        <f t="shared" si="4"/>
        <v>0.0107478260869565</v>
      </c>
      <c r="H147" s="6">
        <v>78.5</v>
      </c>
      <c r="I147" s="3" t="s">
        <v>67</v>
      </c>
      <c r="J147" s="3"/>
      <c r="K147" s="6">
        <v>1</v>
      </c>
      <c r="L147" s="6">
        <v>1</v>
      </c>
      <c r="M147" s="6">
        <v>1.2998</v>
      </c>
      <c r="N147" s="6">
        <v>0.61325</v>
      </c>
      <c r="O147" s="6">
        <v>2.11952710966164</v>
      </c>
      <c r="P147" s="6">
        <v>0.68655</v>
      </c>
      <c r="Q147" s="6">
        <v>0.948241345013009</v>
      </c>
      <c r="R147" s="6">
        <v>0.438035714285714</v>
      </c>
      <c r="S147" s="6">
        <v>0.01751596</v>
      </c>
      <c r="T147" s="6">
        <v>0.0021381875</v>
      </c>
      <c r="U147" s="6">
        <v>0.101821722523247</v>
      </c>
      <c r="V147" s="6">
        <v>0.0754024289816167</v>
      </c>
      <c r="W147" s="6">
        <v>7.30447052371147</v>
      </c>
      <c r="X147" s="6">
        <v>1.93870488601505</v>
      </c>
      <c r="Y147" s="6">
        <v>9.24317540972652</v>
      </c>
      <c r="Z147" s="6">
        <v>1.3835</v>
      </c>
      <c r="AA147" s="6">
        <v>1.5335</v>
      </c>
      <c r="AB147" s="6">
        <v>2.0565</v>
      </c>
      <c r="AC147" s="6">
        <v>1.9065</v>
      </c>
      <c r="AD147" s="6">
        <v>0.15</v>
      </c>
      <c r="AE147" s="6">
        <v>2</v>
      </c>
      <c r="AF147" s="6">
        <v>4</v>
      </c>
      <c r="AG147" s="6">
        <v>0.969535971483266</v>
      </c>
      <c r="AH147" s="6">
        <v>0.223606797749979</v>
      </c>
      <c r="AI147" s="6">
        <v>0.703562363973514</v>
      </c>
      <c r="AJ147" s="6">
        <v>117.2655995616</v>
      </c>
      <c r="AK147" s="6">
        <v>50.01895525</v>
      </c>
      <c r="AL147" s="6">
        <v>115.349</v>
      </c>
      <c r="AM147" s="6">
        <v>101.5</v>
      </c>
      <c r="AN147" s="6">
        <v>6.1522585672</v>
      </c>
      <c r="AO147" s="6">
        <v>6.81111675</v>
      </c>
      <c r="AP147" s="6">
        <v>0</v>
      </c>
      <c r="AQ147" s="6">
        <v>0.06</v>
      </c>
      <c r="AR147" s="6">
        <v>0.47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0.47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0</v>
      </c>
      <c r="BF147" s="6">
        <v>0.025</v>
      </c>
      <c r="BG147" s="6">
        <v>0</v>
      </c>
      <c r="BH147" s="6">
        <v>0</v>
      </c>
      <c r="BI147" s="6">
        <v>0</v>
      </c>
      <c r="BJ147" s="6">
        <v>0.95</v>
      </c>
      <c r="BK147" s="6">
        <v>0</v>
      </c>
      <c r="BL147" s="6">
        <v>0.025</v>
      </c>
      <c r="BM147" s="6">
        <v>0</v>
      </c>
      <c r="BN147" s="6">
        <v>0</v>
      </c>
    </row>
    <row r="148" ht="51.25" customHeight="1" spans="1:66">
      <c r="A148" s="7">
        <v>3</v>
      </c>
      <c r="B148" s="7">
        <v>103</v>
      </c>
      <c r="C148" s="3" t="s">
        <v>231</v>
      </c>
      <c r="D148" s="8">
        <v>0.495</v>
      </c>
      <c r="E148" s="6">
        <v>1.145</v>
      </c>
      <c r="F148" s="6">
        <v>114</v>
      </c>
      <c r="G148" s="6">
        <f t="shared" si="4"/>
        <v>0.0100438596491228</v>
      </c>
      <c r="H148" s="6">
        <v>23.2</v>
      </c>
      <c r="I148" s="3" t="s">
        <v>67</v>
      </c>
      <c r="J148" s="3"/>
      <c r="K148" s="6">
        <v>1</v>
      </c>
      <c r="L148" s="6">
        <v>1</v>
      </c>
      <c r="M148" s="6">
        <v>1.2785</v>
      </c>
      <c r="N148" s="6">
        <v>0.605</v>
      </c>
      <c r="O148" s="6">
        <v>2.11322314049587</v>
      </c>
      <c r="P148" s="6">
        <v>0.6735</v>
      </c>
      <c r="Q148" s="6">
        <v>0.944631178757191</v>
      </c>
      <c r="R148" s="6">
        <v>0.432142857142857</v>
      </c>
      <c r="S148" s="6">
        <v>0.01250275</v>
      </c>
      <c r="T148" s="6">
        <v>0</v>
      </c>
      <c r="U148" s="6">
        <v>0.0874585033809383</v>
      </c>
      <c r="V148" s="6">
        <v>0</v>
      </c>
      <c r="W148" s="6">
        <v>6.70670281232704</v>
      </c>
      <c r="X148" s="6">
        <v>0</v>
      </c>
      <c r="Y148" s="6">
        <v>6.70670281232704</v>
      </c>
      <c r="Z148" s="6">
        <v>1.3949</v>
      </c>
      <c r="AA148" s="6">
        <v>1.54</v>
      </c>
      <c r="AB148" s="6">
        <v>2.0451</v>
      </c>
      <c r="AC148" s="6">
        <v>1.9</v>
      </c>
      <c r="AD148" s="6">
        <v>0.1451</v>
      </c>
      <c r="AE148" s="6">
        <v>2</v>
      </c>
      <c r="AF148" s="6">
        <v>4</v>
      </c>
      <c r="AG148" s="6">
        <v>1</v>
      </c>
      <c r="AH148" s="6">
        <v>0</v>
      </c>
      <c r="AI148" s="6">
        <v>0.707106781186548</v>
      </c>
      <c r="AJ148" s="6">
        <v>114.66358254</v>
      </c>
      <c r="AK148" s="6">
        <v>47.867</v>
      </c>
      <c r="AL148" s="6">
        <v>108.59</v>
      </c>
      <c r="AM148" s="6">
        <v>100</v>
      </c>
      <c r="AN148" s="6">
        <v>6.174376</v>
      </c>
      <c r="AO148" s="6">
        <v>6.82812</v>
      </c>
      <c r="AP148" s="6">
        <v>0</v>
      </c>
      <c r="AQ148" s="6">
        <v>0</v>
      </c>
      <c r="AR148" s="6">
        <v>0.47</v>
      </c>
      <c r="AS148" s="6">
        <v>0</v>
      </c>
      <c r="AT148" s="6">
        <v>0.03</v>
      </c>
      <c r="AU148" s="6">
        <v>0</v>
      </c>
      <c r="AV148" s="6">
        <v>0</v>
      </c>
      <c r="AW148" s="6">
        <v>0</v>
      </c>
      <c r="AX148" s="6">
        <v>0.5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1</v>
      </c>
      <c r="BK148" s="6">
        <v>0</v>
      </c>
      <c r="BL148" s="6">
        <v>0</v>
      </c>
      <c r="BM148" s="6">
        <v>0</v>
      </c>
      <c r="BN148" s="6">
        <v>0</v>
      </c>
    </row>
    <row r="149" ht="34.2" customHeight="1" spans="1:66">
      <c r="A149" s="7">
        <v>2</v>
      </c>
      <c r="B149" s="7">
        <v>102</v>
      </c>
      <c r="C149" s="3" t="s">
        <v>232</v>
      </c>
      <c r="D149" s="8">
        <v>0.5</v>
      </c>
      <c r="E149" s="6">
        <v>1.08</v>
      </c>
      <c r="F149" s="6">
        <v>68</v>
      </c>
      <c r="G149" s="6">
        <f t="shared" si="4"/>
        <v>0.0158823529411765</v>
      </c>
      <c r="H149" s="6">
        <v>87</v>
      </c>
      <c r="I149" s="3" t="s">
        <v>67</v>
      </c>
      <c r="J149" s="3"/>
      <c r="K149" s="6">
        <v>1</v>
      </c>
      <c r="L149" s="6">
        <v>1</v>
      </c>
      <c r="M149" s="6">
        <v>1.5158</v>
      </c>
      <c r="N149" s="6">
        <v>0.605</v>
      </c>
      <c r="O149" s="6">
        <v>2.50545454545455</v>
      </c>
      <c r="P149" s="6">
        <v>0.9108</v>
      </c>
      <c r="Q149" s="6">
        <v>1.02832017585224</v>
      </c>
      <c r="R149" s="6">
        <v>0.432142857142857</v>
      </c>
      <c r="S149" s="6">
        <v>0.01363036</v>
      </c>
      <c r="T149" s="6">
        <v>0</v>
      </c>
      <c r="U149" s="6">
        <v>0.0770214624350783</v>
      </c>
      <c r="V149" s="6">
        <v>0</v>
      </c>
      <c r="W149" s="6">
        <v>8.31536217446221</v>
      </c>
      <c r="X149" s="6">
        <v>0</v>
      </c>
      <c r="Y149" s="6">
        <v>8.31536217446221</v>
      </c>
      <c r="Z149" s="6">
        <v>0.9641</v>
      </c>
      <c r="AA149" s="6">
        <v>1.54</v>
      </c>
      <c r="AB149" s="6">
        <v>2.4759</v>
      </c>
      <c r="AC149" s="6">
        <v>1.9</v>
      </c>
      <c r="AD149" s="6">
        <v>0.5759</v>
      </c>
      <c r="AE149" s="6">
        <v>2</v>
      </c>
      <c r="AF149" s="6">
        <v>4</v>
      </c>
      <c r="AG149" s="6">
        <v>0.316227766016838</v>
      </c>
      <c r="AH149" s="6">
        <v>0</v>
      </c>
      <c r="AI149" s="6">
        <v>0.223606797749979</v>
      </c>
      <c r="AJ149" s="6">
        <v>117.298288464</v>
      </c>
      <c r="AK149" s="6">
        <v>47.867</v>
      </c>
      <c r="AL149" s="6">
        <v>228.407</v>
      </c>
      <c r="AM149" s="6">
        <v>100</v>
      </c>
      <c r="AN149" s="6">
        <v>5.485680814</v>
      </c>
      <c r="AO149" s="6">
        <v>6.82812</v>
      </c>
      <c r="AP149" s="6">
        <v>0</v>
      </c>
      <c r="AQ149" s="6">
        <v>0.54</v>
      </c>
      <c r="AR149" s="6">
        <v>0.05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0.05</v>
      </c>
      <c r="AY149" s="6">
        <v>0</v>
      </c>
      <c r="AZ149" s="6">
        <v>0</v>
      </c>
      <c r="BA149" s="6">
        <v>0.36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1</v>
      </c>
      <c r="BK149" s="6">
        <v>0</v>
      </c>
      <c r="BL149" s="6">
        <v>0</v>
      </c>
      <c r="BM149" s="6">
        <v>0</v>
      </c>
      <c r="BN149" s="6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"/>
  <sheetViews>
    <sheetView workbookViewId="0">
      <selection activeCell="A1" sqref="A1"/>
    </sheetView>
  </sheetViews>
  <sheetFormatPr defaultColWidth="9" defaultRowHeight="13.5"/>
  <cols>
    <col min="1" max="1" width="9" customWidth="1"/>
    <col min="2" max="2" width="12" customWidth="1"/>
    <col min="3" max="3" width="14" customWidth="1"/>
    <col min="4" max="10" width="12" customWidth="1"/>
    <col min="11" max="35" width="11" customWidth="1"/>
  </cols>
  <sheetData>
    <row r="1" ht="13.85" spans="1:35">
      <c r="A1" s="1" t="s">
        <v>1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251</v>
      </c>
      <c r="U1" s="1" t="s">
        <v>252</v>
      </c>
      <c r="V1" s="1" t="s">
        <v>253</v>
      </c>
      <c r="W1" s="1" t="s">
        <v>254</v>
      </c>
      <c r="X1" s="1" t="s">
        <v>255</v>
      </c>
      <c r="Y1" s="1" t="s">
        <v>256</v>
      </c>
      <c r="Z1" s="1" t="s">
        <v>257</v>
      </c>
      <c r="AA1" s="1" t="s">
        <v>258</v>
      </c>
      <c r="AB1" s="1" t="s">
        <v>259</v>
      </c>
      <c r="AC1" s="1" t="s">
        <v>260</v>
      </c>
      <c r="AD1" s="1" t="s">
        <v>261</v>
      </c>
      <c r="AE1" s="1" t="s">
        <v>262</v>
      </c>
      <c r="AF1" s="1" t="s">
        <v>263</v>
      </c>
      <c r="AG1" s="1" t="s">
        <v>264</v>
      </c>
      <c r="AH1" s="1" t="s">
        <v>265</v>
      </c>
      <c r="AI1" s="1" t="s">
        <v>266</v>
      </c>
    </row>
    <row r="2" spans="1:35">
      <c r="A2" s="6">
        <v>1</v>
      </c>
      <c r="B2" s="6" t="s">
        <v>267</v>
      </c>
      <c r="C2" s="6" t="s">
        <v>268</v>
      </c>
      <c r="D2" s="6" t="s">
        <v>269</v>
      </c>
      <c r="E2" s="6">
        <v>2</v>
      </c>
      <c r="F2" s="6">
        <v>137.327</v>
      </c>
      <c r="G2" s="6">
        <v>56</v>
      </c>
      <c r="H2" s="6">
        <v>0.14462</v>
      </c>
      <c r="I2" s="6">
        <v>215</v>
      </c>
      <c r="J2" s="6">
        <v>215</v>
      </c>
      <c r="K2" s="6">
        <v>1.61</v>
      </c>
      <c r="L2" s="6">
        <v>12</v>
      </c>
      <c r="M2" s="6"/>
      <c r="N2" s="6">
        <v>39</v>
      </c>
      <c r="O2" s="6">
        <v>268</v>
      </c>
      <c r="P2" s="6">
        <v>270</v>
      </c>
      <c r="Q2" s="6">
        <v>6</v>
      </c>
      <c r="R2" s="6">
        <v>3.35</v>
      </c>
      <c r="S2" s="6">
        <v>1.44</v>
      </c>
      <c r="T2" s="6">
        <v>2.85</v>
      </c>
      <c r="U2" s="6">
        <v>7.575</v>
      </c>
      <c r="V2" s="6">
        <v>1.24223602484472</v>
      </c>
      <c r="W2" s="6">
        <v>272</v>
      </c>
      <c r="X2" s="6">
        <v>0.89</v>
      </c>
      <c r="Y2" s="6">
        <v>1.08</v>
      </c>
      <c r="Z2" s="6">
        <v>5.2116646</v>
      </c>
      <c r="AA2" s="6">
        <v>10.003826</v>
      </c>
      <c r="AB2" s="6">
        <v>35.8438</v>
      </c>
      <c r="AC2" s="6">
        <v>2.6781423</v>
      </c>
      <c r="AD2" s="6">
        <v>3.402</v>
      </c>
      <c r="AE2" s="6" t="s">
        <v>270</v>
      </c>
      <c r="AF2" s="6" t="s">
        <v>270</v>
      </c>
      <c r="AG2" s="6" t="s">
        <v>271</v>
      </c>
      <c r="AH2" s="6" t="s">
        <v>272</v>
      </c>
      <c r="AI2" s="6" t="s">
        <v>273</v>
      </c>
    </row>
    <row r="3" spans="1:35">
      <c r="A3" s="6">
        <v>2</v>
      </c>
      <c r="B3" s="6" t="s">
        <v>274</v>
      </c>
      <c r="C3" s="6" t="s">
        <v>268</v>
      </c>
      <c r="D3" s="6" t="s">
        <v>275</v>
      </c>
      <c r="E3" s="6">
        <v>2</v>
      </c>
      <c r="F3" s="6">
        <v>87.62</v>
      </c>
      <c r="G3" s="6">
        <v>38</v>
      </c>
      <c r="H3" s="6">
        <v>0.048</v>
      </c>
      <c r="I3" s="6">
        <v>200</v>
      </c>
      <c r="J3" s="6">
        <v>195</v>
      </c>
      <c r="K3" s="6">
        <v>1.44</v>
      </c>
      <c r="L3" s="6">
        <v>12</v>
      </c>
      <c r="M3" s="6"/>
      <c r="N3" s="6">
        <v>33.7</v>
      </c>
      <c r="O3" s="6">
        <v>249</v>
      </c>
      <c r="P3" s="6">
        <v>255</v>
      </c>
      <c r="Q3" s="6">
        <v>5</v>
      </c>
      <c r="R3" s="6">
        <v>2.92</v>
      </c>
      <c r="S3" s="6">
        <v>1.39</v>
      </c>
      <c r="T3" s="6">
        <v>2.85</v>
      </c>
      <c r="U3" s="6">
        <v>6.07</v>
      </c>
      <c r="V3" s="6">
        <v>1.38888888888889</v>
      </c>
      <c r="W3" s="6">
        <v>197.2</v>
      </c>
      <c r="X3" s="6">
        <v>0.95</v>
      </c>
      <c r="Y3" s="6">
        <v>1.13</v>
      </c>
      <c r="Z3" s="6">
        <v>5.69486745</v>
      </c>
      <c r="AA3" s="6">
        <v>11.0302765</v>
      </c>
      <c r="AB3" s="6">
        <v>42.88353</v>
      </c>
      <c r="AC3" s="6">
        <v>2.871433725</v>
      </c>
      <c r="AD3" s="6">
        <v>3.21</v>
      </c>
      <c r="AE3" s="6" t="s">
        <v>270</v>
      </c>
      <c r="AF3" s="6" t="s">
        <v>270</v>
      </c>
      <c r="AG3" s="6" t="s">
        <v>271</v>
      </c>
      <c r="AH3" s="6" t="s">
        <v>272</v>
      </c>
      <c r="AI3" s="6" t="s">
        <v>276</v>
      </c>
    </row>
    <row r="4" spans="1:35">
      <c r="A4" s="6">
        <v>3</v>
      </c>
      <c r="B4" s="6" t="s">
        <v>277</v>
      </c>
      <c r="C4" s="6" t="s">
        <v>268</v>
      </c>
      <c r="D4" s="6" t="s">
        <v>278</v>
      </c>
      <c r="E4" s="6">
        <v>3</v>
      </c>
      <c r="F4" s="6">
        <v>208.9804</v>
      </c>
      <c r="G4" s="6">
        <v>83</v>
      </c>
      <c r="H4" s="6">
        <v>0.942362</v>
      </c>
      <c r="I4" s="6">
        <v>160</v>
      </c>
      <c r="J4" s="6">
        <v>148</v>
      </c>
      <c r="K4" s="6">
        <v>1.17</v>
      </c>
      <c r="L4" s="6">
        <v>8</v>
      </c>
      <c r="M4" s="6"/>
      <c r="N4" s="6">
        <v>21.3</v>
      </c>
      <c r="O4" s="6">
        <v>207</v>
      </c>
      <c r="P4" s="6">
        <v>230</v>
      </c>
      <c r="Q4" s="6">
        <v>6</v>
      </c>
      <c r="R4" s="6">
        <v>2.25</v>
      </c>
      <c r="S4" s="6">
        <v>1.38</v>
      </c>
      <c r="T4" s="6">
        <v>6.3</v>
      </c>
      <c r="U4" s="6">
        <v>13.34</v>
      </c>
      <c r="V4" s="6">
        <v>2.56410256410256</v>
      </c>
      <c r="W4" s="6">
        <v>48</v>
      </c>
      <c r="X4" s="6">
        <v>1.9</v>
      </c>
      <c r="Y4" s="6">
        <v>2.14</v>
      </c>
      <c r="Z4" s="6">
        <v>7.285516</v>
      </c>
      <c r="AA4" s="6">
        <v>16.703</v>
      </c>
      <c r="AB4" s="6">
        <v>25.57075</v>
      </c>
      <c r="AC4" s="6">
        <v>4.113939</v>
      </c>
      <c r="AD4" s="6">
        <v>1.997</v>
      </c>
      <c r="AE4" s="6" t="s">
        <v>270</v>
      </c>
      <c r="AF4" s="6" t="s">
        <v>270</v>
      </c>
      <c r="AG4" s="6" t="s">
        <v>271</v>
      </c>
      <c r="AH4" s="6" t="s">
        <v>279</v>
      </c>
      <c r="AI4" s="6" t="s">
        <v>280</v>
      </c>
    </row>
    <row r="5" spans="1:35">
      <c r="A5" s="6">
        <v>4</v>
      </c>
      <c r="B5" s="6" t="s">
        <v>281</v>
      </c>
      <c r="C5" s="6" t="s">
        <v>268</v>
      </c>
      <c r="D5" s="6" t="s">
        <v>282</v>
      </c>
      <c r="E5" s="6">
        <v>1</v>
      </c>
      <c r="F5" s="6">
        <v>22.98976928</v>
      </c>
      <c r="G5" s="6">
        <v>11</v>
      </c>
      <c r="H5" s="6">
        <v>0.547926</v>
      </c>
      <c r="I5" s="6">
        <v>180</v>
      </c>
      <c r="J5" s="6">
        <v>166</v>
      </c>
      <c r="K5" s="6">
        <v>1.39</v>
      </c>
      <c r="L5" s="6">
        <v>12</v>
      </c>
      <c r="M5" s="6"/>
      <c r="N5" s="6">
        <v>23.7</v>
      </c>
      <c r="O5" s="6">
        <v>227</v>
      </c>
      <c r="P5" s="6">
        <v>240</v>
      </c>
      <c r="Q5" s="6">
        <v>3</v>
      </c>
      <c r="R5" s="6">
        <v>3.73</v>
      </c>
      <c r="S5" s="6">
        <v>1.07</v>
      </c>
      <c r="T5" s="6">
        <v>2.2</v>
      </c>
      <c r="U5" s="6">
        <v>2.507</v>
      </c>
      <c r="V5" s="6">
        <v>0.719424460431655</v>
      </c>
      <c r="W5" s="6">
        <v>162.7</v>
      </c>
      <c r="X5" s="6">
        <v>0.93</v>
      </c>
      <c r="Y5" s="6">
        <v>0.89</v>
      </c>
      <c r="Z5" s="6">
        <v>5.13907696</v>
      </c>
      <c r="AA5" s="6">
        <v>47.28636</v>
      </c>
      <c r="AB5" s="6">
        <v>71.62</v>
      </c>
      <c r="AC5" s="6">
        <v>2.84350148</v>
      </c>
      <c r="AD5" s="6">
        <v>2.65</v>
      </c>
      <c r="AE5" s="6" t="s">
        <v>270</v>
      </c>
      <c r="AF5" s="6" t="s">
        <v>270</v>
      </c>
      <c r="AG5" s="6" t="s">
        <v>271</v>
      </c>
      <c r="AH5" s="6" t="s">
        <v>272</v>
      </c>
      <c r="AI5" s="6" t="s">
        <v>283</v>
      </c>
    </row>
    <row r="6" spans="1:35">
      <c r="A6" s="6">
        <v>5</v>
      </c>
      <c r="B6" s="6" t="s">
        <v>284</v>
      </c>
      <c r="C6" s="6" t="s">
        <v>285</v>
      </c>
      <c r="D6" s="6" t="s">
        <v>286</v>
      </c>
      <c r="E6" s="6">
        <v>4</v>
      </c>
      <c r="F6" s="6">
        <v>47.867</v>
      </c>
      <c r="G6" s="6">
        <v>22</v>
      </c>
      <c r="H6" s="6">
        <v>0.079</v>
      </c>
      <c r="I6" s="6">
        <v>140</v>
      </c>
      <c r="J6" s="6">
        <v>160</v>
      </c>
      <c r="K6" s="6">
        <v>0.605</v>
      </c>
      <c r="L6" s="6">
        <v>6</v>
      </c>
      <c r="M6" s="6"/>
      <c r="N6" s="6">
        <v>10.6</v>
      </c>
      <c r="O6" s="6">
        <v>211</v>
      </c>
      <c r="P6" s="6">
        <v>215</v>
      </c>
      <c r="Q6" s="6">
        <v>4</v>
      </c>
      <c r="R6" s="6">
        <v>1.81</v>
      </c>
      <c r="S6" s="6">
        <v>0.91</v>
      </c>
      <c r="T6" s="6">
        <v>3.15</v>
      </c>
      <c r="U6" s="6">
        <v>4.817</v>
      </c>
      <c r="V6" s="6">
        <v>6.61157024793388</v>
      </c>
      <c r="W6" s="6">
        <v>100</v>
      </c>
      <c r="X6" s="6">
        <v>1.54</v>
      </c>
      <c r="Y6" s="6">
        <v>1.86</v>
      </c>
      <c r="Z6" s="6">
        <v>6.82812</v>
      </c>
      <c r="AA6" s="6">
        <v>13.5755</v>
      </c>
      <c r="AB6" s="6">
        <v>27.49171</v>
      </c>
      <c r="AC6" s="6">
        <v>3.45356</v>
      </c>
      <c r="AD6" s="6">
        <v>2.58</v>
      </c>
      <c r="AE6" s="6" t="s">
        <v>270</v>
      </c>
      <c r="AF6" s="6" t="s">
        <v>270</v>
      </c>
      <c r="AG6" s="6" t="s">
        <v>271</v>
      </c>
      <c r="AH6" s="6" t="s">
        <v>272</v>
      </c>
      <c r="AI6" s="6" t="s">
        <v>287</v>
      </c>
    </row>
    <row r="7" spans="1:35">
      <c r="A7" s="6">
        <v>6</v>
      </c>
      <c r="B7" s="6" t="s">
        <v>288</v>
      </c>
      <c r="C7" s="6" t="s">
        <v>268</v>
      </c>
      <c r="D7" s="6" t="s">
        <v>289</v>
      </c>
      <c r="E7" s="6">
        <v>3</v>
      </c>
      <c r="F7" s="6">
        <v>164.93033</v>
      </c>
      <c r="G7" s="6">
        <v>67</v>
      </c>
      <c r="H7" s="6">
        <v>0.337979996890708</v>
      </c>
      <c r="I7" s="6">
        <v>175</v>
      </c>
      <c r="J7" s="6">
        <v>192</v>
      </c>
      <c r="K7" s="6">
        <v>1.12</v>
      </c>
      <c r="L7" s="6">
        <v>10</v>
      </c>
      <c r="M7" s="6"/>
      <c r="N7" s="6">
        <v>18.7</v>
      </c>
      <c r="O7" s="6">
        <v>230</v>
      </c>
      <c r="P7" s="6"/>
      <c r="Q7" s="6">
        <v>6</v>
      </c>
      <c r="R7" s="6">
        <v>2.19</v>
      </c>
      <c r="S7" s="6">
        <v>1.04</v>
      </c>
      <c r="T7" s="6">
        <v>2.85</v>
      </c>
      <c r="U7" s="6">
        <v>8.439</v>
      </c>
      <c r="V7" s="6">
        <v>2.67857142857143</v>
      </c>
      <c r="W7" s="6">
        <v>156</v>
      </c>
      <c r="X7" s="6">
        <v>1.23</v>
      </c>
      <c r="Y7" s="6">
        <v>1.2</v>
      </c>
      <c r="Z7" s="6">
        <v>6.0215</v>
      </c>
      <c r="AA7" s="6">
        <v>11.781</v>
      </c>
      <c r="AB7" s="6">
        <v>22.79</v>
      </c>
      <c r="AC7" s="6">
        <v>3.17973999844535</v>
      </c>
      <c r="AD7" s="6">
        <v>3.65</v>
      </c>
      <c r="AE7" s="6" t="s">
        <v>270</v>
      </c>
      <c r="AF7" s="6" t="s">
        <v>270</v>
      </c>
      <c r="AG7" s="6" t="s">
        <v>290</v>
      </c>
      <c r="AH7" s="6" t="s">
        <v>291</v>
      </c>
      <c r="AI7" s="6" t="s">
        <v>292</v>
      </c>
    </row>
    <row r="8" spans="1:35">
      <c r="A8" s="6">
        <v>7</v>
      </c>
      <c r="B8" s="6" t="s">
        <v>293</v>
      </c>
      <c r="C8" s="6" t="s">
        <v>285</v>
      </c>
      <c r="D8" s="6" t="s">
        <v>294</v>
      </c>
      <c r="E8" s="6">
        <v>3</v>
      </c>
      <c r="F8" s="6">
        <v>88.90584</v>
      </c>
      <c r="G8" s="6">
        <v>39</v>
      </c>
      <c r="H8" s="6">
        <v>0.307</v>
      </c>
      <c r="I8" s="6">
        <v>180</v>
      </c>
      <c r="J8" s="6">
        <v>190</v>
      </c>
      <c r="K8" s="6">
        <v>0.9</v>
      </c>
      <c r="L8" s="6">
        <v>6</v>
      </c>
      <c r="M8" s="6"/>
      <c r="N8" s="6">
        <v>19.8</v>
      </c>
      <c r="O8" s="6">
        <v>232</v>
      </c>
      <c r="P8" s="6">
        <v>240</v>
      </c>
      <c r="Q8" s="6">
        <v>5</v>
      </c>
      <c r="R8" s="6">
        <v>2.42</v>
      </c>
      <c r="S8" s="6">
        <v>1.22</v>
      </c>
      <c r="T8" s="6">
        <v>3</v>
      </c>
      <c r="U8" s="6">
        <v>6.256</v>
      </c>
      <c r="V8" s="6">
        <v>3.33333333333333</v>
      </c>
      <c r="W8" s="6">
        <v>162</v>
      </c>
      <c r="X8" s="6">
        <v>1.22</v>
      </c>
      <c r="Y8" s="6">
        <v>1.41</v>
      </c>
      <c r="Z8" s="6">
        <v>6.21726</v>
      </c>
      <c r="AA8" s="6">
        <v>12.2236</v>
      </c>
      <c r="AB8" s="6">
        <v>20.52441</v>
      </c>
      <c r="AC8" s="6">
        <v>3.26213</v>
      </c>
      <c r="AD8" s="6">
        <v>2.94</v>
      </c>
      <c r="AE8" s="6" t="s">
        <v>270</v>
      </c>
      <c r="AF8" s="6" t="s">
        <v>270</v>
      </c>
      <c r="AG8" s="6" t="s">
        <v>271</v>
      </c>
      <c r="AH8" s="6" t="s">
        <v>272</v>
      </c>
      <c r="AI8" s="6" t="s">
        <v>295</v>
      </c>
    </row>
    <row r="9" spans="1:35">
      <c r="A9" s="6">
        <v>8</v>
      </c>
      <c r="B9" s="6" t="s">
        <v>296</v>
      </c>
      <c r="C9" s="6" t="s">
        <v>285</v>
      </c>
      <c r="D9" s="6" t="s">
        <v>297</v>
      </c>
      <c r="E9" s="6">
        <v>5</v>
      </c>
      <c r="F9" s="6">
        <v>92.90637</v>
      </c>
      <c r="G9" s="6">
        <v>41</v>
      </c>
      <c r="H9" s="6">
        <v>0.917406</v>
      </c>
      <c r="I9" s="6">
        <v>145</v>
      </c>
      <c r="J9" s="6">
        <v>164</v>
      </c>
      <c r="K9" s="6">
        <v>0.64</v>
      </c>
      <c r="L9" s="6">
        <v>6</v>
      </c>
      <c r="M9" s="6"/>
      <c r="N9" s="6">
        <v>10.8</v>
      </c>
      <c r="O9" s="6">
        <v>218</v>
      </c>
      <c r="P9" s="6">
        <v>215</v>
      </c>
      <c r="Q9" s="6">
        <v>5</v>
      </c>
      <c r="R9" s="6">
        <v>1.75</v>
      </c>
      <c r="S9" s="6">
        <v>0.95</v>
      </c>
      <c r="T9" s="6">
        <v>3.3</v>
      </c>
      <c r="U9" s="6">
        <v>5.921</v>
      </c>
      <c r="V9" s="6">
        <v>7.8125</v>
      </c>
      <c r="W9" s="6">
        <v>98</v>
      </c>
      <c r="X9" s="6">
        <v>1.6</v>
      </c>
      <c r="Y9" s="6">
        <v>2.03</v>
      </c>
      <c r="Z9" s="6">
        <v>6.75885</v>
      </c>
      <c r="AA9" s="6">
        <v>14.32</v>
      </c>
      <c r="AB9" s="6">
        <v>25.04</v>
      </c>
      <c r="AC9" s="6">
        <v>3.838128</v>
      </c>
      <c r="AD9" s="6">
        <v>2.76</v>
      </c>
      <c r="AE9" s="6" t="s">
        <v>270</v>
      </c>
      <c r="AF9" s="6" t="s">
        <v>270</v>
      </c>
      <c r="AG9" s="6" t="s">
        <v>271</v>
      </c>
      <c r="AH9" s="6" t="s">
        <v>272</v>
      </c>
      <c r="AI9" s="6" t="s">
        <v>298</v>
      </c>
    </row>
    <row r="10" spans="1:35">
      <c r="A10" s="6">
        <v>9</v>
      </c>
      <c r="B10" s="6" t="s">
        <v>299</v>
      </c>
      <c r="C10" s="6" t="s">
        <v>285</v>
      </c>
      <c r="D10" s="6" t="s">
        <v>300</v>
      </c>
      <c r="E10" s="6">
        <v>4</v>
      </c>
      <c r="F10" s="6">
        <v>91.224</v>
      </c>
      <c r="G10" s="6">
        <v>40</v>
      </c>
      <c r="H10" s="6">
        <v>0.426</v>
      </c>
      <c r="I10" s="6">
        <v>155</v>
      </c>
      <c r="J10" s="6">
        <v>175</v>
      </c>
      <c r="K10" s="6">
        <v>0.72</v>
      </c>
      <c r="L10" s="6">
        <v>6</v>
      </c>
      <c r="M10" s="6"/>
      <c r="N10" s="6">
        <v>14.1</v>
      </c>
      <c r="O10" s="6">
        <v>223</v>
      </c>
      <c r="P10" s="6">
        <v>230</v>
      </c>
      <c r="Q10" s="6">
        <v>5</v>
      </c>
      <c r="R10" s="6">
        <v>1.96</v>
      </c>
      <c r="S10" s="6">
        <v>0.98</v>
      </c>
      <c r="T10" s="6">
        <v>3</v>
      </c>
      <c r="U10" s="6">
        <v>6.445</v>
      </c>
      <c r="V10" s="6">
        <v>5.55555555555556</v>
      </c>
      <c r="W10" s="6">
        <v>112</v>
      </c>
      <c r="X10" s="6">
        <v>1.33</v>
      </c>
      <c r="Y10" s="6">
        <v>1.7</v>
      </c>
      <c r="Z10" s="6">
        <v>6.634126</v>
      </c>
      <c r="AA10" s="6">
        <v>13.13</v>
      </c>
      <c r="AB10" s="6">
        <v>23.17</v>
      </c>
      <c r="AC10" s="6">
        <v>3.530063</v>
      </c>
      <c r="AD10" s="6">
        <v>2.825</v>
      </c>
      <c r="AE10" s="6" t="s">
        <v>270</v>
      </c>
      <c r="AF10" s="6" t="s">
        <v>270</v>
      </c>
      <c r="AG10" s="6" t="s">
        <v>271</v>
      </c>
      <c r="AH10" s="6" t="s">
        <v>272</v>
      </c>
      <c r="AI10" s="6" t="s">
        <v>301</v>
      </c>
    </row>
    <row r="11" spans="1:35">
      <c r="A11" s="6">
        <v>10</v>
      </c>
      <c r="B11" s="6" t="s">
        <v>302</v>
      </c>
      <c r="C11" s="6" t="s">
        <v>285</v>
      </c>
      <c r="D11" s="6" t="s">
        <v>303</v>
      </c>
      <c r="E11" s="6">
        <v>5</v>
      </c>
      <c r="F11" s="6">
        <v>180.94788</v>
      </c>
      <c r="G11" s="6">
        <v>73</v>
      </c>
      <c r="H11" s="6">
        <v>0.322</v>
      </c>
      <c r="I11" s="6">
        <v>145</v>
      </c>
      <c r="J11" s="6">
        <v>170</v>
      </c>
      <c r="K11" s="6">
        <v>0.64</v>
      </c>
      <c r="L11" s="6">
        <v>6</v>
      </c>
      <c r="M11" s="6"/>
      <c r="N11" s="6">
        <v>10.9</v>
      </c>
      <c r="O11" s="6">
        <v>222</v>
      </c>
      <c r="P11" s="6">
        <v>220</v>
      </c>
      <c r="Q11" s="6">
        <v>6</v>
      </c>
      <c r="R11" s="6">
        <v>1.7</v>
      </c>
      <c r="S11" s="6">
        <v>0.95</v>
      </c>
      <c r="T11" s="6">
        <v>3.3</v>
      </c>
      <c r="U11" s="6">
        <v>9.525</v>
      </c>
      <c r="V11" s="6">
        <v>7.8125</v>
      </c>
      <c r="W11" s="6">
        <v>74</v>
      </c>
      <c r="X11" s="6">
        <v>1.5</v>
      </c>
      <c r="Y11" s="6">
        <v>1.94</v>
      </c>
      <c r="Z11" s="6">
        <v>7.549571</v>
      </c>
      <c r="AA11" s="6">
        <v>16.2</v>
      </c>
      <c r="AB11" s="6">
        <v>23.1</v>
      </c>
      <c r="AC11" s="6">
        <v>3.9357855</v>
      </c>
      <c r="AD11" s="6">
        <v>2.79</v>
      </c>
      <c r="AE11" s="6" t="s">
        <v>270</v>
      </c>
      <c r="AF11" s="6" t="s">
        <v>270</v>
      </c>
      <c r="AG11" s="6" t="s">
        <v>271</v>
      </c>
      <c r="AH11" s="6" t="s">
        <v>272</v>
      </c>
      <c r="AI11" s="6" t="s">
        <v>304</v>
      </c>
    </row>
    <row r="12" spans="1:35">
      <c r="A12" s="6">
        <v>11</v>
      </c>
      <c r="B12" s="6" t="s">
        <v>305</v>
      </c>
      <c r="C12" s="6" t="s">
        <v>285</v>
      </c>
      <c r="D12" s="6" t="s">
        <v>306</v>
      </c>
      <c r="E12" s="6">
        <v>4</v>
      </c>
      <c r="F12" s="6">
        <v>118.71</v>
      </c>
      <c r="G12" s="6">
        <v>50</v>
      </c>
      <c r="H12" s="6">
        <v>1.112067</v>
      </c>
      <c r="I12" s="6">
        <v>145</v>
      </c>
      <c r="J12" s="6">
        <v>139</v>
      </c>
      <c r="K12" s="6">
        <v>0.69</v>
      </c>
      <c r="L12" s="6">
        <v>6</v>
      </c>
      <c r="M12" s="6"/>
      <c r="N12" s="6">
        <v>16.3</v>
      </c>
      <c r="O12" s="6">
        <v>217</v>
      </c>
      <c r="P12" s="6">
        <v>225</v>
      </c>
      <c r="Q12" s="6">
        <v>5</v>
      </c>
      <c r="R12" s="6">
        <v>2.3</v>
      </c>
      <c r="S12" s="6">
        <v>1.41</v>
      </c>
      <c r="T12" s="6">
        <v>5.65</v>
      </c>
      <c r="U12" s="6">
        <v>9.102</v>
      </c>
      <c r="V12" s="6">
        <v>5.79710144927536</v>
      </c>
      <c r="W12" s="6">
        <v>53</v>
      </c>
      <c r="X12" s="6">
        <v>1.96</v>
      </c>
      <c r="Y12" s="6">
        <v>1.88</v>
      </c>
      <c r="Z12" s="6">
        <v>7.343918</v>
      </c>
      <c r="AA12" s="6">
        <v>14.63307</v>
      </c>
      <c r="AB12" s="6">
        <v>30.506</v>
      </c>
      <c r="AC12" s="6">
        <v>4.2279925</v>
      </c>
      <c r="AD12" s="6">
        <v>1.88</v>
      </c>
      <c r="AE12" s="6" t="s">
        <v>270</v>
      </c>
      <c r="AF12" s="6" t="s">
        <v>270</v>
      </c>
      <c r="AG12" s="6" t="s">
        <v>271</v>
      </c>
      <c r="AH12" s="6" t="s">
        <v>272</v>
      </c>
      <c r="AI12" s="6" t="s">
        <v>307</v>
      </c>
    </row>
    <row r="13" spans="1:35">
      <c r="A13" s="6">
        <v>12</v>
      </c>
      <c r="B13" s="6" t="s">
        <v>308</v>
      </c>
      <c r="C13" s="6" t="s">
        <v>268</v>
      </c>
      <c r="D13" s="6" t="s">
        <v>309</v>
      </c>
      <c r="E13" s="6">
        <v>3</v>
      </c>
      <c r="F13" s="6">
        <v>138.90547</v>
      </c>
      <c r="G13" s="6">
        <v>57</v>
      </c>
      <c r="H13" s="6">
        <v>0.47</v>
      </c>
      <c r="I13" s="6">
        <v>195</v>
      </c>
      <c r="J13" s="6">
        <v>207</v>
      </c>
      <c r="K13" s="6">
        <v>1.36</v>
      </c>
      <c r="L13" s="6">
        <v>12</v>
      </c>
      <c r="M13" s="6"/>
      <c r="N13" s="6">
        <v>22.5</v>
      </c>
      <c r="O13" s="6">
        <v>243</v>
      </c>
      <c r="P13" s="6">
        <v>250</v>
      </c>
      <c r="Q13" s="6">
        <v>6</v>
      </c>
      <c r="R13" s="6">
        <v>2.42</v>
      </c>
      <c r="S13" s="6">
        <v>1.34</v>
      </c>
      <c r="T13" s="6">
        <v>2.85</v>
      </c>
      <c r="U13" s="6">
        <v>9.312</v>
      </c>
      <c r="V13" s="6">
        <v>2.20588235294118</v>
      </c>
      <c r="W13" s="6">
        <v>215</v>
      </c>
      <c r="X13" s="6">
        <v>1.1</v>
      </c>
      <c r="Y13" s="6">
        <v>1.35</v>
      </c>
      <c r="Z13" s="6">
        <v>5.5769</v>
      </c>
      <c r="AA13" s="6">
        <v>11.18496</v>
      </c>
      <c r="AB13" s="6">
        <v>19.1773</v>
      </c>
      <c r="AC13" s="6">
        <v>3.02345</v>
      </c>
      <c r="AD13" s="6">
        <v>3.08</v>
      </c>
      <c r="AE13" s="6" t="s">
        <v>270</v>
      </c>
      <c r="AF13" s="6" t="s">
        <v>270</v>
      </c>
      <c r="AG13" s="6" t="s">
        <v>271</v>
      </c>
      <c r="AH13" s="6" t="s">
        <v>272</v>
      </c>
      <c r="AI13" s="6" t="s">
        <v>310</v>
      </c>
    </row>
    <row r="14" spans="1:35">
      <c r="A14" s="6">
        <v>13</v>
      </c>
      <c r="B14" s="6" t="s">
        <v>311</v>
      </c>
      <c r="C14" s="6" t="s">
        <v>285</v>
      </c>
      <c r="D14" s="6" t="s">
        <v>312</v>
      </c>
      <c r="E14" s="6">
        <v>2</v>
      </c>
      <c r="F14" s="6">
        <v>65.38</v>
      </c>
      <c r="G14" s="6">
        <v>30</v>
      </c>
      <c r="H14" s="6"/>
      <c r="I14" s="6">
        <v>135</v>
      </c>
      <c r="J14" s="6">
        <v>122</v>
      </c>
      <c r="K14" s="6">
        <v>0.74</v>
      </c>
      <c r="L14" s="6">
        <v>6</v>
      </c>
      <c r="M14" s="6"/>
      <c r="N14" s="6">
        <v>9.2</v>
      </c>
      <c r="O14" s="6">
        <v>201</v>
      </c>
      <c r="P14" s="6">
        <v>210</v>
      </c>
      <c r="Q14" s="6">
        <v>4</v>
      </c>
      <c r="R14" s="6">
        <v>2.21</v>
      </c>
      <c r="S14" s="6">
        <v>1.25</v>
      </c>
      <c r="T14" s="6">
        <v>4.35</v>
      </c>
      <c r="U14" s="6">
        <v>5.965</v>
      </c>
      <c r="V14" s="6">
        <v>2.7027027027027</v>
      </c>
      <c r="W14" s="6">
        <v>38.67</v>
      </c>
      <c r="X14" s="6">
        <v>1.65</v>
      </c>
      <c r="Y14" s="6">
        <v>1.44</v>
      </c>
      <c r="Z14" s="6">
        <v>9.394197</v>
      </c>
      <c r="AA14" s="6">
        <v>17.96439</v>
      </c>
      <c r="AB14" s="6">
        <v>39.7233</v>
      </c>
      <c r="AC14" s="6"/>
      <c r="AD14" s="6">
        <v>1.88</v>
      </c>
      <c r="AE14" s="6" t="s">
        <v>270</v>
      </c>
      <c r="AF14" s="6" t="s">
        <v>270</v>
      </c>
      <c r="AG14" s="6" t="s">
        <v>313</v>
      </c>
      <c r="AH14" s="6" t="s">
        <v>314</v>
      </c>
      <c r="AI14" s="6" t="s">
        <v>315</v>
      </c>
    </row>
    <row r="15" spans="1:35">
      <c r="A15" s="6">
        <v>14</v>
      </c>
      <c r="B15" s="6" t="s">
        <v>316</v>
      </c>
      <c r="C15" s="6" t="s">
        <v>285</v>
      </c>
      <c r="D15" s="6" t="s">
        <v>317</v>
      </c>
      <c r="E15" s="6">
        <v>2</v>
      </c>
      <c r="F15" s="6">
        <v>24.305</v>
      </c>
      <c r="G15" s="6">
        <v>12</v>
      </c>
      <c r="H15" s="6"/>
      <c r="I15" s="6">
        <v>150</v>
      </c>
      <c r="J15" s="6">
        <v>141</v>
      </c>
      <c r="K15" s="6">
        <v>0.72</v>
      </c>
      <c r="L15" s="6">
        <v>6</v>
      </c>
      <c r="M15" s="6"/>
      <c r="N15" s="6">
        <v>14</v>
      </c>
      <c r="O15" s="6">
        <v>173</v>
      </c>
      <c r="P15" s="6">
        <v>220</v>
      </c>
      <c r="Q15" s="6">
        <v>3</v>
      </c>
      <c r="R15" s="6">
        <v>2.3</v>
      </c>
      <c r="S15" s="6">
        <v>1.09</v>
      </c>
      <c r="T15" s="6">
        <v>2.85</v>
      </c>
      <c r="U15" s="6">
        <v>3.308</v>
      </c>
      <c r="V15" s="6">
        <v>2.77777777777778</v>
      </c>
      <c r="W15" s="6">
        <v>71.2</v>
      </c>
      <c r="X15" s="6">
        <v>1.31</v>
      </c>
      <c r="Y15" s="6">
        <v>1.31</v>
      </c>
      <c r="Z15" s="6">
        <v>7.646236</v>
      </c>
      <c r="AA15" s="6">
        <v>15.035271</v>
      </c>
      <c r="AB15" s="6">
        <v>80.1436</v>
      </c>
      <c r="AC15" s="6"/>
      <c r="AD15" s="6">
        <v>2.03</v>
      </c>
      <c r="AE15" s="6" t="s">
        <v>270</v>
      </c>
      <c r="AF15" s="6" t="s">
        <v>270</v>
      </c>
      <c r="AG15" s="6" t="s">
        <v>313</v>
      </c>
      <c r="AH15" s="6" t="s">
        <v>314</v>
      </c>
      <c r="AI15" s="6" t="s">
        <v>318</v>
      </c>
    </row>
    <row r="16" spans="1:35">
      <c r="A16" s="6">
        <v>15</v>
      </c>
      <c r="B16" s="6" t="s">
        <v>319</v>
      </c>
      <c r="C16" s="6" t="s">
        <v>268</v>
      </c>
      <c r="D16" s="6" t="s">
        <v>320</v>
      </c>
      <c r="E16" s="6">
        <v>1</v>
      </c>
      <c r="F16" s="6">
        <v>107.8682</v>
      </c>
      <c r="G16" s="6">
        <v>47</v>
      </c>
      <c r="H16" s="6">
        <v>1.302</v>
      </c>
      <c r="I16" s="6">
        <v>160</v>
      </c>
      <c r="J16" s="6">
        <v>145</v>
      </c>
      <c r="K16" s="6">
        <v>1.28</v>
      </c>
      <c r="L16" s="6">
        <v>8</v>
      </c>
      <c r="M16" s="6"/>
      <c r="N16" s="6">
        <v>10.3</v>
      </c>
      <c r="O16" s="6">
        <v>211</v>
      </c>
      <c r="P16" s="6">
        <v>210</v>
      </c>
      <c r="Q16" s="6">
        <v>5</v>
      </c>
      <c r="R16" s="6">
        <v>2.9</v>
      </c>
      <c r="S16" s="6">
        <v>1.3</v>
      </c>
      <c r="T16" s="6">
        <v>4.2</v>
      </c>
      <c r="U16" s="6">
        <v>6.755</v>
      </c>
      <c r="V16" s="6">
        <v>0.78125</v>
      </c>
      <c r="W16" s="6">
        <v>55</v>
      </c>
      <c r="X16" s="6">
        <v>1.93</v>
      </c>
      <c r="Y16" s="6">
        <v>1.07</v>
      </c>
      <c r="Z16" s="6">
        <v>7.576234</v>
      </c>
      <c r="AA16" s="6">
        <v>21.4844</v>
      </c>
      <c r="AB16" s="6">
        <v>34.8</v>
      </c>
      <c r="AC16" s="6">
        <v>4.439117</v>
      </c>
      <c r="AD16" s="6">
        <v>2.375</v>
      </c>
      <c r="AE16" s="6" t="s">
        <v>270</v>
      </c>
      <c r="AF16" s="6" t="s">
        <v>270</v>
      </c>
      <c r="AG16" s="6" t="s">
        <v>271</v>
      </c>
      <c r="AH16" s="6" t="s">
        <v>279</v>
      </c>
      <c r="AI16" s="6" t="s">
        <v>321</v>
      </c>
    </row>
    <row r="17" spans="1:35">
      <c r="A17" s="6">
        <v>16</v>
      </c>
      <c r="B17" s="6" t="s">
        <v>322</v>
      </c>
      <c r="C17" s="6" t="s">
        <v>268</v>
      </c>
      <c r="D17" s="6" t="s">
        <v>323</v>
      </c>
      <c r="E17" s="6">
        <v>1</v>
      </c>
      <c r="F17" s="6">
        <v>39.0983</v>
      </c>
      <c r="G17" s="6">
        <v>19</v>
      </c>
      <c r="H17" s="6">
        <v>0.50147</v>
      </c>
      <c r="I17" s="6">
        <v>220</v>
      </c>
      <c r="J17" s="6">
        <v>203</v>
      </c>
      <c r="K17" s="6">
        <v>1.64</v>
      </c>
      <c r="L17" s="6">
        <v>12</v>
      </c>
      <c r="M17" s="6"/>
      <c r="N17" s="6">
        <v>45.3</v>
      </c>
      <c r="O17" s="6">
        <v>275</v>
      </c>
      <c r="P17" s="6">
        <v>280</v>
      </c>
      <c r="Q17" s="6">
        <v>4</v>
      </c>
      <c r="R17" s="6">
        <v>4.6</v>
      </c>
      <c r="S17" s="6">
        <v>1.32</v>
      </c>
      <c r="T17" s="6">
        <v>2.2</v>
      </c>
      <c r="U17" s="6">
        <v>3.495</v>
      </c>
      <c r="V17" s="6">
        <v>0.609756097560976</v>
      </c>
      <c r="W17" s="6">
        <v>289.7</v>
      </c>
      <c r="X17" s="6">
        <v>0.82</v>
      </c>
      <c r="Y17" s="6">
        <v>0.8</v>
      </c>
      <c r="Z17" s="6">
        <v>4.34066373</v>
      </c>
      <c r="AA17" s="6">
        <v>31.625</v>
      </c>
      <c r="AB17" s="6">
        <v>45.8031</v>
      </c>
      <c r="AC17" s="6">
        <v>2.421066865</v>
      </c>
      <c r="AD17" s="6">
        <v>3.69</v>
      </c>
      <c r="AE17" s="6" t="s">
        <v>270</v>
      </c>
      <c r="AF17" s="6" t="s">
        <v>270</v>
      </c>
      <c r="AG17" s="6" t="s">
        <v>271</v>
      </c>
      <c r="AH17" s="6" t="s">
        <v>272</v>
      </c>
      <c r="AI17" s="6" t="s">
        <v>324</v>
      </c>
    </row>
    <row r="18" spans="1:35">
      <c r="A18" s="6">
        <v>17</v>
      </c>
      <c r="B18" s="6" t="s">
        <v>325</v>
      </c>
      <c r="C18" s="6" t="s">
        <v>268</v>
      </c>
      <c r="D18" s="6" t="s">
        <v>326</v>
      </c>
      <c r="E18" s="6">
        <v>3</v>
      </c>
      <c r="F18" s="6">
        <v>150.36</v>
      </c>
      <c r="G18" s="6">
        <v>62</v>
      </c>
      <c r="H18" s="6">
        <v>0.161994092345961</v>
      </c>
      <c r="I18" s="6">
        <v>185</v>
      </c>
      <c r="J18" s="6">
        <v>198</v>
      </c>
      <c r="K18" s="6">
        <v>1.24</v>
      </c>
      <c r="L18" s="6">
        <v>12</v>
      </c>
      <c r="M18" s="6"/>
      <c r="N18" s="6">
        <v>19.9</v>
      </c>
      <c r="O18" s="6">
        <v>236</v>
      </c>
      <c r="P18" s="6"/>
      <c r="Q18" s="6">
        <v>6</v>
      </c>
      <c r="R18" s="6">
        <v>2.33</v>
      </c>
      <c r="S18" s="6">
        <v>1.11</v>
      </c>
      <c r="T18" s="6">
        <v>2.85</v>
      </c>
      <c r="U18" s="6">
        <v>8.012</v>
      </c>
      <c r="V18" s="6">
        <v>2.41935483870968</v>
      </c>
      <c r="W18" s="6">
        <v>192</v>
      </c>
      <c r="X18" s="6">
        <v>1.17</v>
      </c>
      <c r="Y18" s="6">
        <v>1.2</v>
      </c>
      <c r="Z18" s="6">
        <v>5.643722</v>
      </c>
      <c r="AA18" s="6">
        <v>11.078</v>
      </c>
      <c r="AB18" s="6">
        <v>23.55</v>
      </c>
      <c r="AC18" s="6">
        <v>2.90285804617298</v>
      </c>
      <c r="AD18" s="6">
        <v>4.14</v>
      </c>
      <c r="AE18" s="6" t="s">
        <v>270</v>
      </c>
      <c r="AF18" s="6" t="s">
        <v>270</v>
      </c>
      <c r="AG18" s="6" t="s">
        <v>290</v>
      </c>
      <c r="AH18" s="6" t="s">
        <v>272</v>
      </c>
      <c r="AI18" s="6" t="s">
        <v>327</v>
      </c>
    </row>
    <row r="19" spans="1:35">
      <c r="A19" s="6">
        <v>18</v>
      </c>
      <c r="B19" s="6" t="s">
        <v>328</v>
      </c>
      <c r="C19" s="6" t="s">
        <v>268</v>
      </c>
      <c r="D19" s="6" t="s">
        <v>329</v>
      </c>
      <c r="E19" s="6">
        <v>2</v>
      </c>
      <c r="F19" s="6">
        <v>40.078</v>
      </c>
      <c r="G19" s="6">
        <v>20</v>
      </c>
      <c r="H19" s="6">
        <v>0.02455</v>
      </c>
      <c r="I19" s="6">
        <v>180</v>
      </c>
      <c r="J19" s="6">
        <v>176</v>
      </c>
      <c r="K19" s="6">
        <v>1.34</v>
      </c>
      <c r="L19" s="6">
        <v>12</v>
      </c>
      <c r="M19" s="6"/>
      <c r="N19" s="6">
        <v>29.9</v>
      </c>
      <c r="O19" s="6">
        <v>231</v>
      </c>
      <c r="P19" s="6">
        <v>240</v>
      </c>
      <c r="Q19" s="6">
        <v>4</v>
      </c>
      <c r="R19" s="6">
        <v>2.7</v>
      </c>
      <c r="S19" s="6">
        <v>1.25</v>
      </c>
      <c r="T19" s="6">
        <v>2.85</v>
      </c>
      <c r="U19" s="6">
        <v>4.398</v>
      </c>
      <c r="V19" s="6">
        <v>1.49253731343284</v>
      </c>
      <c r="W19" s="6">
        <v>160.8</v>
      </c>
      <c r="X19" s="6">
        <v>1</v>
      </c>
      <c r="Y19" s="6">
        <v>1.17</v>
      </c>
      <c r="Z19" s="6">
        <v>6.11315547</v>
      </c>
      <c r="AA19" s="6">
        <v>11.871719</v>
      </c>
      <c r="AB19" s="6">
        <v>50.91316</v>
      </c>
      <c r="AC19" s="6">
        <v>3.068852735</v>
      </c>
      <c r="AD19" s="6">
        <v>3</v>
      </c>
      <c r="AE19" s="6" t="s">
        <v>270</v>
      </c>
      <c r="AF19" s="6" t="s">
        <v>270</v>
      </c>
      <c r="AG19" s="6" t="s">
        <v>271</v>
      </c>
      <c r="AH19" s="6" t="s">
        <v>272</v>
      </c>
      <c r="AI19" s="6" t="s">
        <v>330</v>
      </c>
    </row>
    <row r="20" spans="1:35">
      <c r="A20" s="6">
        <v>19</v>
      </c>
      <c r="B20" s="6" t="s">
        <v>331</v>
      </c>
      <c r="C20" s="6" t="s">
        <v>285</v>
      </c>
      <c r="D20" s="6" t="s">
        <v>332</v>
      </c>
      <c r="E20" s="6">
        <v>3</v>
      </c>
      <c r="F20" s="6">
        <v>55.845</v>
      </c>
      <c r="G20" s="6">
        <v>26</v>
      </c>
      <c r="H20" s="6">
        <v>0.151</v>
      </c>
      <c r="I20" s="6">
        <v>140</v>
      </c>
      <c r="J20" s="6">
        <v>142</v>
      </c>
      <c r="K20" s="6">
        <v>0.55</v>
      </c>
      <c r="L20" s="6">
        <v>6</v>
      </c>
      <c r="M20" s="6"/>
      <c r="N20" s="6">
        <v>7.1</v>
      </c>
      <c r="O20" s="6">
        <v>204</v>
      </c>
      <c r="P20" s="6">
        <v>205</v>
      </c>
      <c r="Q20" s="6">
        <v>4</v>
      </c>
      <c r="R20" s="6">
        <v>1.16</v>
      </c>
      <c r="S20" s="6">
        <v>0.73</v>
      </c>
      <c r="T20" s="6">
        <v>3.75</v>
      </c>
      <c r="U20" s="6">
        <v>5.434</v>
      </c>
      <c r="V20" s="6">
        <v>5.45454545454545</v>
      </c>
      <c r="W20" s="6">
        <v>62</v>
      </c>
      <c r="X20" s="6">
        <v>1.83</v>
      </c>
      <c r="Y20" s="6">
        <v>1.67</v>
      </c>
      <c r="Z20" s="6">
        <v>7.9024681</v>
      </c>
      <c r="AA20" s="6">
        <v>16.19921</v>
      </c>
      <c r="AB20" s="6">
        <v>30.651</v>
      </c>
      <c r="AC20" s="6">
        <v>4.02673405</v>
      </c>
      <c r="AD20" s="6">
        <v>2.11</v>
      </c>
      <c r="AE20" s="6" t="s">
        <v>270</v>
      </c>
      <c r="AF20" s="6" t="s">
        <v>270</v>
      </c>
      <c r="AG20" s="6" t="s">
        <v>271</v>
      </c>
      <c r="AH20" s="6" t="s">
        <v>272</v>
      </c>
      <c r="AI20" s="6" t="s">
        <v>333</v>
      </c>
    </row>
    <row r="21" spans="1:35">
      <c r="A21" s="6">
        <v>20</v>
      </c>
      <c r="B21" s="6" t="s">
        <v>334</v>
      </c>
      <c r="C21" s="6" t="s">
        <v>268</v>
      </c>
      <c r="D21" s="6" t="s">
        <v>335</v>
      </c>
      <c r="E21" s="6">
        <v>1</v>
      </c>
      <c r="F21" s="6">
        <v>6.94</v>
      </c>
      <c r="G21" s="6">
        <v>3</v>
      </c>
      <c r="H21" s="6">
        <v>0.618049</v>
      </c>
      <c r="I21" s="6">
        <v>145</v>
      </c>
      <c r="J21" s="6">
        <v>128</v>
      </c>
      <c r="K21" s="6">
        <v>0.92</v>
      </c>
      <c r="L21" s="6">
        <v>8</v>
      </c>
      <c r="M21" s="6"/>
      <c r="N21" s="6">
        <v>13.1</v>
      </c>
      <c r="O21" s="6">
        <v>182</v>
      </c>
      <c r="P21" s="6">
        <v>220</v>
      </c>
      <c r="Q21" s="6">
        <v>2</v>
      </c>
      <c r="R21" s="6">
        <v>3.06</v>
      </c>
      <c r="S21" s="6">
        <v>1.75</v>
      </c>
      <c r="T21" s="6">
        <v>1.3</v>
      </c>
      <c r="U21" s="6">
        <v>1.279</v>
      </c>
      <c r="V21" s="6">
        <v>1.08695652173913</v>
      </c>
      <c r="W21" s="6">
        <v>164.1125</v>
      </c>
      <c r="X21" s="6">
        <v>0.98</v>
      </c>
      <c r="Y21" s="6">
        <v>0.9</v>
      </c>
      <c r="Z21" s="6">
        <v>5.391714996</v>
      </c>
      <c r="AA21" s="6">
        <v>75.640097</v>
      </c>
      <c r="AB21" s="6">
        <v>122.45435913</v>
      </c>
      <c r="AC21" s="6">
        <v>3.004881998</v>
      </c>
      <c r="AD21" s="6">
        <v>1.61</v>
      </c>
      <c r="AE21" s="6" t="s">
        <v>270</v>
      </c>
      <c r="AF21" s="6" t="s">
        <v>270</v>
      </c>
      <c r="AG21" s="6" t="s">
        <v>271</v>
      </c>
      <c r="AH21" s="6" t="s">
        <v>279</v>
      </c>
      <c r="AI21" s="6" t="s">
        <v>336</v>
      </c>
    </row>
    <row r="22" spans="1:35">
      <c r="A22" s="6">
        <v>21</v>
      </c>
      <c r="B22" s="6" t="s">
        <v>337</v>
      </c>
      <c r="C22" s="6" t="s">
        <v>285</v>
      </c>
      <c r="D22" s="6" t="s">
        <v>338</v>
      </c>
      <c r="E22" s="6">
        <v>3</v>
      </c>
      <c r="F22" s="6">
        <v>26.9815385</v>
      </c>
      <c r="G22" s="6">
        <v>13</v>
      </c>
      <c r="H22" s="6">
        <v>0.43283</v>
      </c>
      <c r="I22" s="6">
        <v>125</v>
      </c>
      <c r="J22" s="6">
        <v>121</v>
      </c>
      <c r="K22" s="6">
        <v>0.535</v>
      </c>
      <c r="L22" s="6">
        <v>6</v>
      </c>
      <c r="M22" s="6"/>
      <c r="N22" s="6">
        <v>10</v>
      </c>
      <c r="O22" s="6">
        <v>184</v>
      </c>
      <c r="P22" s="6">
        <v>210</v>
      </c>
      <c r="Q22" s="6">
        <v>3</v>
      </c>
      <c r="R22" s="6">
        <v>2.01</v>
      </c>
      <c r="S22" s="6">
        <v>1.25</v>
      </c>
      <c r="T22" s="6">
        <v>3.5</v>
      </c>
      <c r="U22" s="6">
        <v>4.066</v>
      </c>
      <c r="V22" s="6">
        <v>5.60747663551402</v>
      </c>
      <c r="W22" s="6">
        <v>57.8</v>
      </c>
      <c r="X22" s="6">
        <v>1.61</v>
      </c>
      <c r="Y22" s="6">
        <v>1.64</v>
      </c>
      <c r="Z22" s="6">
        <v>5.985769</v>
      </c>
      <c r="AA22" s="6">
        <v>18.82855</v>
      </c>
      <c r="AB22" s="6">
        <v>28.447642</v>
      </c>
      <c r="AC22" s="6">
        <v>3.2092995</v>
      </c>
      <c r="AD22" s="6">
        <v>1.675</v>
      </c>
      <c r="AE22" s="6" t="s">
        <v>270</v>
      </c>
      <c r="AF22" s="6" t="s">
        <v>270</v>
      </c>
      <c r="AG22" s="6" t="s">
        <v>271</v>
      </c>
      <c r="AH22" s="6" t="s">
        <v>272</v>
      </c>
      <c r="AI22" s="6" t="s">
        <v>339</v>
      </c>
    </row>
    <row r="23" spans="1:35">
      <c r="A23" s="6">
        <v>22</v>
      </c>
      <c r="B23" s="6" t="s">
        <v>340</v>
      </c>
      <c r="C23" s="6" t="s">
        <v>285</v>
      </c>
      <c r="D23" s="6" t="s">
        <v>341</v>
      </c>
      <c r="E23" s="6">
        <v>6</v>
      </c>
      <c r="F23" s="6">
        <v>183.84</v>
      </c>
      <c r="G23" s="6">
        <v>74</v>
      </c>
      <c r="H23" s="6">
        <v>0.81626</v>
      </c>
      <c r="I23" s="6">
        <v>135</v>
      </c>
      <c r="J23" s="6">
        <v>162</v>
      </c>
      <c r="K23" s="6">
        <v>0.6</v>
      </c>
      <c r="L23" s="6">
        <v>6</v>
      </c>
      <c r="M23" s="6"/>
      <c r="N23" s="6">
        <v>9.53</v>
      </c>
      <c r="O23" s="6">
        <v>218</v>
      </c>
      <c r="P23" s="6">
        <v>210</v>
      </c>
      <c r="Q23" s="6">
        <v>6</v>
      </c>
      <c r="R23" s="6">
        <v>1.5</v>
      </c>
      <c r="S23" s="6">
        <v>0.92</v>
      </c>
      <c r="T23" s="6">
        <v>4.35</v>
      </c>
      <c r="U23" s="6">
        <v>9.854</v>
      </c>
      <c r="V23" s="6">
        <v>10</v>
      </c>
      <c r="W23" s="6">
        <v>68</v>
      </c>
      <c r="X23" s="6">
        <v>1.7</v>
      </c>
      <c r="Y23" s="6">
        <v>1.79</v>
      </c>
      <c r="Z23" s="6">
        <v>7.86403</v>
      </c>
      <c r="AA23" s="6">
        <v>16.37</v>
      </c>
      <c r="AB23" s="6">
        <v>26</v>
      </c>
      <c r="AC23" s="6">
        <v>4.340145</v>
      </c>
      <c r="AD23" s="6">
        <v>2.735</v>
      </c>
      <c r="AE23" s="6" t="s">
        <v>270</v>
      </c>
      <c r="AF23" s="6" t="s">
        <v>270</v>
      </c>
      <c r="AG23" s="6" t="s">
        <v>271</v>
      </c>
      <c r="AH23" s="6" t="s">
        <v>272</v>
      </c>
      <c r="AI23" s="6" t="s">
        <v>342</v>
      </c>
    </row>
    <row r="24" spans="1:35">
      <c r="A24" s="6">
        <v>23</v>
      </c>
      <c r="B24" s="6" t="s">
        <v>343</v>
      </c>
      <c r="C24" s="6" t="s">
        <v>285</v>
      </c>
      <c r="D24" s="6" t="s">
        <v>344</v>
      </c>
      <c r="E24" s="6">
        <v>3</v>
      </c>
      <c r="F24" s="6">
        <v>44.955908</v>
      </c>
      <c r="G24" s="6">
        <v>21</v>
      </c>
      <c r="H24" s="6">
        <v>0.188</v>
      </c>
      <c r="I24" s="6">
        <v>160</v>
      </c>
      <c r="J24" s="6">
        <v>170</v>
      </c>
      <c r="K24" s="6">
        <v>0.745</v>
      </c>
      <c r="L24" s="6">
        <v>6</v>
      </c>
      <c r="M24" s="6"/>
      <c r="N24" s="6">
        <v>15</v>
      </c>
      <c r="O24" s="6">
        <v>215</v>
      </c>
      <c r="P24" s="6">
        <v>230</v>
      </c>
      <c r="Q24" s="6">
        <v>4</v>
      </c>
      <c r="R24" s="6">
        <v>2.21</v>
      </c>
      <c r="S24" s="6">
        <v>1.1</v>
      </c>
      <c r="T24" s="6">
        <v>3</v>
      </c>
      <c r="U24" s="6">
        <v>4.632</v>
      </c>
      <c r="V24" s="6">
        <v>4.02684563758389</v>
      </c>
      <c r="W24" s="6">
        <v>97</v>
      </c>
      <c r="X24" s="6">
        <v>1.36</v>
      </c>
      <c r="Y24" s="6">
        <v>1.5</v>
      </c>
      <c r="Z24" s="6">
        <v>6.56149</v>
      </c>
      <c r="AA24" s="6">
        <v>12.79977</v>
      </c>
      <c r="AB24" s="6">
        <v>24.756839</v>
      </c>
      <c r="AC24" s="6">
        <v>3.374745</v>
      </c>
      <c r="AD24" s="6">
        <v>2.75</v>
      </c>
      <c r="AE24" s="6" t="s">
        <v>270</v>
      </c>
      <c r="AF24" s="6" t="s">
        <v>270</v>
      </c>
      <c r="AG24" s="6" t="s">
        <v>271</v>
      </c>
      <c r="AH24" s="6" t="s">
        <v>272</v>
      </c>
      <c r="AI24" s="6" t="s">
        <v>345</v>
      </c>
    </row>
    <row r="25" spans="1:35">
      <c r="A25" s="6">
        <v>24</v>
      </c>
      <c r="B25" s="6" t="s">
        <v>346</v>
      </c>
      <c r="C25" s="6" t="s">
        <v>285</v>
      </c>
      <c r="D25" s="6" t="s">
        <v>347</v>
      </c>
      <c r="E25" s="6">
        <v>4</v>
      </c>
      <c r="F25" s="6">
        <v>178.49</v>
      </c>
      <c r="G25" s="6">
        <v>72</v>
      </c>
      <c r="H25" s="6">
        <v>0.014</v>
      </c>
      <c r="I25" s="6">
        <v>155</v>
      </c>
      <c r="J25" s="6">
        <v>175</v>
      </c>
      <c r="K25" s="6">
        <v>0.71</v>
      </c>
      <c r="L25" s="6">
        <v>6</v>
      </c>
      <c r="M25" s="6"/>
      <c r="N25" s="6">
        <v>13.6</v>
      </c>
      <c r="O25" s="6">
        <v>223</v>
      </c>
      <c r="P25" s="6">
        <v>225</v>
      </c>
      <c r="Q25" s="6">
        <v>6</v>
      </c>
      <c r="R25" s="6">
        <v>1.88</v>
      </c>
      <c r="S25" s="6">
        <v>0.97</v>
      </c>
      <c r="T25" s="6">
        <v>3.15</v>
      </c>
      <c r="U25" s="6">
        <v>9.164</v>
      </c>
      <c r="V25" s="6">
        <v>5.63380281690141</v>
      </c>
      <c r="W25" s="6">
        <v>103</v>
      </c>
      <c r="X25" s="6">
        <v>1.3</v>
      </c>
      <c r="Y25" s="6">
        <v>1.73</v>
      </c>
      <c r="Z25" s="6">
        <v>6.82507</v>
      </c>
      <c r="AA25" s="6">
        <v>14.61</v>
      </c>
      <c r="AB25" s="6">
        <v>22.55</v>
      </c>
      <c r="AC25" s="6">
        <v>3.419535</v>
      </c>
      <c r="AD25" s="6">
        <v>2.91</v>
      </c>
      <c r="AE25" s="6" t="s">
        <v>270</v>
      </c>
      <c r="AF25" s="6" t="s">
        <v>270</v>
      </c>
      <c r="AG25" s="6" t="s">
        <v>271</v>
      </c>
      <c r="AH25" s="6" t="s">
        <v>272</v>
      </c>
      <c r="AI25" s="6" t="s">
        <v>348</v>
      </c>
    </row>
    <row r="26" spans="1:35">
      <c r="A26" s="6">
        <v>25</v>
      </c>
      <c r="B26" s="6" t="s">
        <v>349</v>
      </c>
      <c r="C26" s="6" t="s">
        <v>268</v>
      </c>
      <c r="D26" s="6" t="s">
        <v>350</v>
      </c>
      <c r="E26" s="6">
        <v>3</v>
      </c>
      <c r="F26" s="6">
        <v>144.242</v>
      </c>
      <c r="G26" s="6">
        <v>60</v>
      </c>
      <c r="H26" s="6">
        <v>1.916</v>
      </c>
      <c r="I26" s="6">
        <v>185</v>
      </c>
      <c r="J26" s="6">
        <v>201</v>
      </c>
      <c r="K26" s="6">
        <v>1.27</v>
      </c>
      <c r="L26" s="6">
        <v>12</v>
      </c>
      <c r="M26" s="6"/>
      <c r="N26" s="6">
        <v>20.6</v>
      </c>
      <c r="O26" s="6">
        <v>239</v>
      </c>
      <c r="P26" s="6"/>
      <c r="Q26" s="6">
        <v>6</v>
      </c>
      <c r="R26" s="6">
        <v>2.37</v>
      </c>
      <c r="S26" s="6">
        <v>1.17</v>
      </c>
      <c r="T26" s="6">
        <v>2.85</v>
      </c>
      <c r="U26" s="6">
        <v>9.307</v>
      </c>
      <c r="V26" s="6">
        <v>2.36220472440945</v>
      </c>
      <c r="W26" s="6">
        <v>208</v>
      </c>
      <c r="X26" s="6">
        <v>1.14</v>
      </c>
      <c r="Y26" s="6">
        <v>1.2</v>
      </c>
      <c r="Z26" s="6">
        <v>5.525</v>
      </c>
      <c r="AA26" s="6">
        <v>10.783</v>
      </c>
      <c r="AB26" s="6">
        <v>22.09</v>
      </c>
      <c r="AC26" s="6">
        <v>3.7205</v>
      </c>
      <c r="AD26" s="6">
        <v>3.99</v>
      </c>
      <c r="AE26" s="6" t="s">
        <v>270</v>
      </c>
      <c r="AF26" s="6" t="s">
        <v>270</v>
      </c>
      <c r="AG26" s="6" t="s">
        <v>290</v>
      </c>
      <c r="AH26" s="6" t="s">
        <v>272</v>
      </c>
      <c r="AI26" s="6" t="s">
        <v>351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opLeftCell="A7" workbookViewId="0">
      <selection activeCell="A1" sqref="A1"/>
    </sheetView>
  </sheetViews>
  <sheetFormatPr defaultColWidth="9" defaultRowHeight="13.5" outlineLevelCol="2"/>
  <cols>
    <col min="1" max="1" width="14" customWidth="1"/>
    <col min="2" max="2" width="34" customWidth="1"/>
    <col min="3" max="3" width="42" customWidth="1"/>
  </cols>
  <sheetData>
    <row r="1" ht="24" customHeight="1" spans="1:3">
      <c r="A1" s="1" t="s">
        <v>352</v>
      </c>
      <c r="B1" s="1" t="s">
        <v>353</v>
      </c>
      <c r="C1" s="1" t="s">
        <v>354</v>
      </c>
    </row>
    <row r="2" ht="51.25" customHeight="1" spans="1:3">
      <c r="A2" s="2" t="s">
        <v>355</v>
      </c>
      <c r="B2" s="3" t="s">
        <v>356</v>
      </c>
      <c r="C2" s="3" t="s">
        <v>357</v>
      </c>
    </row>
    <row r="3" ht="17.1" customHeight="1" spans="1:3">
      <c r="A3" s="2" t="s">
        <v>16</v>
      </c>
      <c r="B3" s="3" t="s">
        <v>358</v>
      </c>
      <c r="C3" s="3" t="s">
        <v>359</v>
      </c>
    </row>
    <row r="4" ht="34.2" customHeight="1" spans="1:3">
      <c r="A4" s="2" t="s">
        <v>17</v>
      </c>
      <c r="B4" s="3" t="s">
        <v>360</v>
      </c>
      <c r="C4" s="3" t="s">
        <v>359</v>
      </c>
    </row>
    <row r="5" ht="34.2" customHeight="1" spans="1:3">
      <c r="A5" s="2" t="s">
        <v>361</v>
      </c>
      <c r="B5" s="3" t="s">
        <v>362</v>
      </c>
      <c r="C5" s="3" t="s">
        <v>363</v>
      </c>
    </row>
    <row r="6" ht="34.2" customHeight="1" spans="1:3">
      <c r="A6" s="2" t="s">
        <v>364</v>
      </c>
      <c r="B6" s="3" t="s">
        <v>365</v>
      </c>
      <c r="C6" s="3" t="s">
        <v>366</v>
      </c>
    </row>
    <row r="7" ht="34.2" customHeight="1" spans="1:3">
      <c r="A7" s="2" t="s">
        <v>367</v>
      </c>
      <c r="B7" s="3" t="s">
        <v>368</v>
      </c>
      <c r="C7" s="3" t="s">
        <v>369</v>
      </c>
    </row>
    <row r="8" ht="34.2" customHeight="1" spans="1:3">
      <c r="A8" s="2" t="s">
        <v>370</v>
      </c>
      <c r="B8" s="3" t="s">
        <v>371</v>
      </c>
      <c r="C8" s="3" t="s">
        <v>372</v>
      </c>
    </row>
    <row r="9" ht="51.25" customHeight="1" spans="1:3">
      <c r="A9" s="2" t="s">
        <v>373</v>
      </c>
      <c r="B9" s="3" t="s">
        <v>374</v>
      </c>
      <c r="C9" s="3" t="s">
        <v>375</v>
      </c>
    </row>
    <row r="10" ht="17.1" customHeight="1" spans="1:3">
      <c r="A10" s="2" t="s">
        <v>376</v>
      </c>
      <c r="B10" s="3" t="s">
        <v>377</v>
      </c>
      <c r="C10" s="3" t="s">
        <v>378</v>
      </c>
    </row>
    <row r="11" ht="34.2" customHeight="1" spans="1:3">
      <c r="A11" s="2" t="s">
        <v>379</v>
      </c>
      <c r="B11" s="3" t="s">
        <v>380</v>
      </c>
      <c r="C11" s="3" t="s">
        <v>381</v>
      </c>
    </row>
    <row r="12" ht="17.1" customHeight="1" spans="1:3">
      <c r="A12" s="2" t="s">
        <v>382</v>
      </c>
      <c r="B12" s="3" t="s">
        <v>383</v>
      </c>
      <c r="C12" s="3" t="s">
        <v>384</v>
      </c>
    </row>
    <row r="13" ht="51.25" customHeight="1" spans="1:3">
      <c r="A13" s="2" t="s">
        <v>385</v>
      </c>
      <c r="B13" s="3" t="s">
        <v>386</v>
      </c>
      <c r="C13" s="3" t="s">
        <v>387</v>
      </c>
    </row>
    <row r="14" ht="51.25" customHeight="1" spans="1:3">
      <c r="A14" s="2" t="s">
        <v>388</v>
      </c>
      <c r="B14" s="3" t="s">
        <v>389</v>
      </c>
      <c r="C14" s="3" t="s">
        <v>390</v>
      </c>
    </row>
    <row r="15" ht="51.25" customHeight="1" spans="1:3">
      <c r="A15" s="2" t="s">
        <v>391</v>
      </c>
      <c r="B15" s="3" t="s">
        <v>392</v>
      </c>
      <c r="C15" s="3"/>
    </row>
    <row r="16" ht="51.25" customHeight="1" spans="1:3">
      <c r="A16" s="2" t="s">
        <v>393</v>
      </c>
      <c r="B16" s="3" t="s">
        <v>394</v>
      </c>
      <c r="C16" s="3" t="s">
        <v>395</v>
      </c>
    </row>
    <row r="17" ht="51.25" customHeight="1" spans="1:3">
      <c r="A17" s="2" t="s">
        <v>396</v>
      </c>
      <c r="B17" s="3" t="s">
        <v>397</v>
      </c>
      <c r="C17" s="3" t="s">
        <v>398</v>
      </c>
    </row>
    <row r="18" ht="68.35" customHeight="1" spans="1:3">
      <c r="A18" s="2" t="s">
        <v>399</v>
      </c>
      <c r="B18" s="3" t="s">
        <v>400</v>
      </c>
      <c r="C18" s="3" t="s">
        <v>401</v>
      </c>
    </row>
    <row r="19" ht="17.1" customHeight="1" spans="1:3">
      <c r="A19" s="2"/>
      <c r="B19" s="3"/>
      <c r="C19" s="3"/>
    </row>
    <row r="20" ht="17.1" customHeight="1" spans="1:3">
      <c r="A20" s="4"/>
      <c r="B20" s="5"/>
      <c r="C20" s="5"/>
    </row>
    <row r="21" ht="34.2" customHeight="1" spans="1:3">
      <c r="A21" s="4"/>
      <c r="B21" s="5"/>
      <c r="C21" s="5"/>
    </row>
    <row r="22" ht="17.1" customHeight="1" spans="1:3">
      <c r="A22" s="4"/>
      <c r="B22" s="5"/>
      <c r="C22" s="5"/>
    </row>
    <row r="23" ht="34.2" customHeight="1" spans="1:3">
      <c r="A23" s="4"/>
      <c r="B23" s="5"/>
      <c r="C23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ML描述符</vt:lpstr>
      <vt:lpstr>离子特征参数</vt:lpstr>
      <vt:lpstr>计算说明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邓梓煜</cp:lastModifiedBy>
  <dcterms:created xsi:type="dcterms:W3CDTF">2026-04-21T11:22:00Z</dcterms:created>
  <dcterms:modified xsi:type="dcterms:W3CDTF">2026-04-21T11:30:31Z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9D51BBE017D14BDEAB102AB1E270D667_12</vt:lpwstr>
  </property>
  <property fmtid="{D5CDD505-2E9C-101B-9397-08002B2CF9AE}" pid="3" name="KSOProductBuildVer">
    <vt:lpwstr>2052-12.1.0.20784</vt:lpwstr>
  </property>
</Properties>
</file>